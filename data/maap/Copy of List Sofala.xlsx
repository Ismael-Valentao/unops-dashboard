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oaocostadias/Library/Mobile Documents/com~apple~CloudDocs/00. 2025/Sustenta 2026/0227 Construção das listas/Listas 1704/"/>
    </mc:Choice>
  </mc:AlternateContent>
  <xr:revisionPtr revIDLastSave="0" documentId="8_{11BE865D-0ED0-6B47-85F6-AF3AEEC912BC}" xr6:coauthVersionLast="47" xr6:coauthVersionMax="47" xr10:uidLastSave="{00000000-0000-0000-0000-000000000000}"/>
  <bookViews>
    <workbookView xWindow="-4260" yWindow="-18880" windowWidth="28800" windowHeight="16220" xr2:uid="{00000000-000D-0000-FFFF-FFFF00000000}"/>
  </bookViews>
  <sheets>
    <sheet name="Sheet1" sheetId="2" r:id="rId1"/>
    <sheet name="Sofala" sheetId="1" r:id="rId2"/>
  </sheets>
  <definedNames>
    <definedName name="_xlnm._FilterDatabase" localSheetId="1" hidden="1">Sofala!$A$1:$L$121</definedName>
  </definedNames>
  <calcPr calcId="191029"/>
  <pivotCaches>
    <pivotCache cacheId="6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1" i="1" l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<sst xmlns="http://schemas.openxmlformats.org/spreadsheetml/2006/main" count="1142" uniqueCount="353">
  <si>
    <t>Extensionist_ID</t>
  </si>
  <si>
    <t>Extensionist</t>
  </si>
  <si>
    <t>Extensionist Contact</t>
  </si>
  <si>
    <t>Supervisor</t>
  </si>
  <si>
    <t>Supervisor Contact</t>
  </si>
  <si>
    <t>Province</t>
  </si>
  <si>
    <t>District</t>
  </si>
  <si>
    <t>Location</t>
  </si>
  <si>
    <t>Kit</t>
  </si>
  <si>
    <t>Previous Quantity</t>
  </si>
  <si>
    <t xml:space="preserve"> Quantities MAAP</t>
  </si>
  <si>
    <t>Variation</t>
  </si>
  <si>
    <t>0401-0001</t>
  </si>
  <si>
    <t>Adia Manguengue</t>
  </si>
  <si>
    <t>845248854</t>
  </si>
  <si>
    <t>Anifa Manuel Ferreira Ramessane</t>
  </si>
  <si>
    <t>Sofala</t>
  </si>
  <si>
    <t>Beira</t>
  </si>
  <si>
    <t>Soger</t>
  </si>
  <si>
    <t>Kit 2</t>
  </si>
  <si>
    <t>0401-0002</t>
  </si>
  <si>
    <t>Ana Cleusia Filipe Mateus</t>
  </si>
  <si>
    <t>866463755</t>
  </si>
  <si>
    <t>Chamba</t>
  </si>
  <si>
    <t>0401-0003</t>
  </si>
  <si>
    <t>Argentina Sande</t>
  </si>
  <si>
    <t>825371530</t>
  </si>
  <si>
    <t>Mbatue</t>
  </si>
  <si>
    <t>0401-0004</t>
  </si>
  <si>
    <t>Fátima Helena Lobo</t>
  </si>
  <si>
    <t>845396431</t>
  </si>
  <si>
    <t>Miquejo</t>
  </si>
  <si>
    <t>0401-0005</t>
  </si>
  <si>
    <t>Hélder Carmona Muchanga</t>
  </si>
  <si>
    <t>841087400</t>
  </si>
  <si>
    <t>Chissape</t>
  </si>
  <si>
    <t>0401-0006</t>
  </si>
  <si>
    <t>Laura Comatiporte</t>
  </si>
  <si>
    <t>870256363</t>
  </si>
  <si>
    <t>Ceramica</t>
  </si>
  <si>
    <t>0401-0007</t>
  </si>
  <si>
    <t>Nelinha Hibraimo</t>
  </si>
  <si>
    <t>871014865</t>
  </si>
  <si>
    <t>Povoa</t>
  </si>
  <si>
    <t>0401-0008</t>
  </si>
  <si>
    <t>Nelinha Ibraimo</t>
  </si>
  <si>
    <t>Mungassa</t>
  </si>
  <si>
    <t>0401-0009</t>
  </si>
  <si>
    <t>Vitoria Andre Chango</t>
  </si>
  <si>
    <t>846281927</t>
  </si>
  <si>
    <t>Ngupa</t>
  </si>
  <si>
    <t>0402-0001</t>
  </si>
  <si>
    <t>Adelina Massora</t>
  </si>
  <si>
    <t>867878815</t>
  </si>
  <si>
    <t>Ayrton Mael</t>
  </si>
  <si>
    <t>Buzi</t>
  </si>
  <si>
    <t>Inharongue</t>
  </si>
  <si>
    <t>0402-0002</t>
  </si>
  <si>
    <t>Alberto Marceta</t>
  </si>
  <si>
    <t>862787540</t>
  </si>
  <si>
    <t>Guara</t>
  </si>
  <si>
    <t>Kit 1</t>
  </si>
  <si>
    <t>0402-0003</t>
  </si>
  <si>
    <t>Amelia Maurai</t>
  </si>
  <si>
    <t>843432086</t>
  </si>
  <si>
    <t>Buzi Sede</t>
  </si>
  <si>
    <t>0402-0004</t>
  </si>
  <si>
    <t>Augusto Nhama</t>
  </si>
  <si>
    <t>879843831</t>
  </si>
  <si>
    <t>0402-0005</t>
  </si>
  <si>
    <t>Helder Zunguze</t>
  </si>
  <si>
    <t>871960498</t>
  </si>
  <si>
    <t>Bandua</t>
  </si>
  <si>
    <t>0402-0006</t>
  </si>
  <si>
    <t>Issa Pedro Aguiar</t>
  </si>
  <si>
    <t>849214818</t>
  </si>
  <si>
    <t>Grudja</t>
  </si>
  <si>
    <t>0402-0007</t>
  </si>
  <si>
    <t>Issufo Gani</t>
  </si>
  <si>
    <t>870402372</t>
  </si>
  <si>
    <t>Nova Sofala</t>
  </si>
  <si>
    <t>0402-0008</t>
  </si>
  <si>
    <t>Ivone Afonso</t>
  </si>
  <si>
    <t>879154260</t>
  </si>
  <si>
    <t>0402-0009</t>
  </si>
  <si>
    <t>Joao Chimucuacua</t>
  </si>
  <si>
    <t>875568213</t>
  </si>
  <si>
    <t>Ampara</t>
  </si>
  <si>
    <t>0402-0010</t>
  </si>
  <si>
    <t>Leonora Tequite</t>
  </si>
  <si>
    <t>861149990</t>
  </si>
  <si>
    <t>0402-0011</t>
  </si>
  <si>
    <t>Mamade Hanifo</t>
  </si>
  <si>
    <t>845135068</t>
  </si>
  <si>
    <t>0402-0012</t>
  </si>
  <si>
    <t>Maria Raposo</t>
  </si>
  <si>
    <t>862121080</t>
  </si>
  <si>
    <t>0402-0013</t>
  </si>
  <si>
    <t>Moises Colele</t>
  </si>
  <si>
    <t>861090750</t>
  </si>
  <si>
    <t>Estaquinha Sede</t>
  </si>
  <si>
    <t>0402-0014</t>
  </si>
  <si>
    <t>Sergio Manuel</t>
  </si>
  <si>
    <t>850317944</t>
  </si>
  <si>
    <t>Inhamuchindo</t>
  </si>
  <si>
    <t>0402-0015</t>
  </si>
  <si>
    <t>0403-0001</t>
  </si>
  <si>
    <t>Ana Lucas Jose Thomange</t>
  </si>
  <si>
    <t>847230770</t>
  </si>
  <si>
    <t>Filipe Paulino Saute</t>
  </si>
  <si>
    <t>Caia</t>
  </si>
  <si>
    <t>Sena-sede</t>
  </si>
  <si>
    <t>0403-0002</t>
  </si>
  <si>
    <t>Ananias Zeca Airone</t>
  </si>
  <si>
    <t>861700861</t>
  </si>
  <si>
    <t>Sena Sede</t>
  </si>
  <si>
    <t>0403-0003</t>
  </si>
  <si>
    <t>Berto Macino Chicico</t>
  </si>
  <si>
    <t>848348060</t>
  </si>
  <si>
    <t>Murraça</t>
  </si>
  <si>
    <t>0403-0004</t>
  </si>
  <si>
    <t>Carlos Roque Quembo</t>
  </si>
  <si>
    <t>848542608</t>
  </si>
  <si>
    <t>0403-0005</t>
  </si>
  <si>
    <t>Elisa Sarifo Sunzumua</t>
  </si>
  <si>
    <t>842873785</t>
  </si>
  <si>
    <t>0403-0006</t>
  </si>
  <si>
    <t>Eusilio Joao da Silva</t>
  </si>
  <si>
    <t>871027410</t>
  </si>
  <si>
    <t>0403-0007</t>
  </si>
  <si>
    <t>875454103</t>
  </si>
  <si>
    <t>Caia sede</t>
  </si>
  <si>
    <t>0403-0008</t>
  </si>
  <si>
    <t>Helio Joao Manidide Sigauque</t>
  </si>
  <si>
    <t>848641592</t>
  </si>
  <si>
    <t>0403-0009</t>
  </si>
  <si>
    <t>Jeremias Felix Chinassassata</t>
  </si>
  <si>
    <t>Licoma</t>
  </si>
  <si>
    <t>0403-0010</t>
  </si>
  <si>
    <t>Joao Jose Bogue</t>
  </si>
  <si>
    <t>842970123</t>
  </si>
  <si>
    <t>0403-0011</t>
  </si>
  <si>
    <t>Jubia Fatima Aguiar</t>
  </si>
  <si>
    <t>846645586</t>
  </si>
  <si>
    <t>0403-0012</t>
  </si>
  <si>
    <t>Mafalda Stela Barrata da Silva</t>
  </si>
  <si>
    <t>874704181</t>
  </si>
  <si>
    <t>0403-0013</t>
  </si>
  <si>
    <t>Manuel Carlos Tomas Jofrice</t>
  </si>
  <si>
    <t>842715576</t>
  </si>
  <si>
    <t>0403-0014</t>
  </si>
  <si>
    <t>Mariano Biriate Colete</t>
  </si>
  <si>
    <t>843797455</t>
  </si>
  <si>
    <t>0403-0015</t>
  </si>
  <si>
    <t>Quisito Inacio Breu Novo</t>
  </si>
  <si>
    <t>879131998</t>
  </si>
  <si>
    <t>NDORO</t>
  </si>
  <si>
    <t>0403-0016</t>
  </si>
  <si>
    <t>Rainha Levecene</t>
  </si>
  <si>
    <t>871163360</t>
  </si>
  <si>
    <t>0403-0017</t>
  </si>
  <si>
    <t>Rodrigues Jose Manuel Bero</t>
  </si>
  <si>
    <t>872075134</t>
  </si>
  <si>
    <t>0404-0001</t>
  </si>
  <si>
    <t>Carla Chico Bene</t>
  </si>
  <si>
    <t>840635649</t>
  </si>
  <si>
    <t>Castro Manuel Mendes</t>
  </si>
  <si>
    <t>Chemba</t>
  </si>
  <si>
    <t>Chemba sede</t>
  </si>
  <si>
    <t>0404-0002</t>
  </si>
  <si>
    <t>Cremilde da Odete Sande</t>
  </si>
  <si>
    <t>855179965</t>
  </si>
  <si>
    <t>3 De Fevereiro</t>
  </si>
  <si>
    <t>0404-0003</t>
  </si>
  <si>
    <t>Fatima Alfredo Bulaque</t>
  </si>
  <si>
    <t>857019494</t>
  </si>
  <si>
    <t>0404-0004</t>
  </si>
  <si>
    <t>Francisco Manuel Zeca</t>
  </si>
  <si>
    <t>849110284</t>
  </si>
  <si>
    <t>0404-0005</t>
  </si>
  <si>
    <t>Gerito Gonçalves</t>
  </si>
  <si>
    <t>845611917</t>
  </si>
  <si>
    <t>Catulene</t>
  </si>
  <si>
    <t>0404-0006</t>
  </si>
  <si>
    <t>Jone Alfredo Ranquene</t>
  </si>
  <si>
    <t>876165451</t>
  </si>
  <si>
    <t>Chiramba sede</t>
  </si>
  <si>
    <t>0404-0007</t>
  </si>
  <si>
    <t>Jorge Francisco Machava</t>
  </si>
  <si>
    <t>849044895</t>
  </si>
  <si>
    <t>Mulima sede</t>
  </si>
  <si>
    <t>0404-0008</t>
  </si>
  <si>
    <t>Jose Patrocinio Zeca Mureua</t>
  </si>
  <si>
    <t>847710566</t>
  </si>
  <si>
    <t>0404-0009</t>
  </si>
  <si>
    <t>Manuenca Zeca Chaima</t>
  </si>
  <si>
    <t>840534310</t>
  </si>
  <si>
    <t>0404-0010</t>
  </si>
  <si>
    <t>Miguel Jovencio Francisco</t>
  </si>
  <si>
    <t>844924405</t>
  </si>
  <si>
    <t>0404-0011</t>
  </si>
  <si>
    <t>Roquia Mario Fernando Valiz</t>
  </si>
  <si>
    <t>842537564</t>
  </si>
  <si>
    <t>0404-0012</t>
  </si>
  <si>
    <t>Sara Ernesto Adelino Portugal</t>
  </si>
  <si>
    <t>842558842</t>
  </si>
  <si>
    <t>0404-0013</t>
  </si>
  <si>
    <t>Serrano Lacerda J. Franqueza</t>
  </si>
  <si>
    <t>879091865</t>
  </si>
  <si>
    <t>Goe</t>
  </si>
  <si>
    <t>0404-0014</t>
  </si>
  <si>
    <t>Tomasina Jose Francisco</t>
  </si>
  <si>
    <t>846042503</t>
  </si>
  <si>
    <t>0405-0001</t>
  </si>
  <si>
    <t>Amelia Mateus</t>
  </si>
  <si>
    <t>877518163</t>
  </si>
  <si>
    <t>Chipo Jossefa Bassopo</t>
  </si>
  <si>
    <t>Chibabava</t>
  </si>
  <si>
    <t>Buunhi</t>
  </si>
  <si>
    <t>0405-0002</t>
  </si>
  <si>
    <t>Joao Manuel Bernardo</t>
  </si>
  <si>
    <t>862098378</t>
  </si>
  <si>
    <t>Hamamba</t>
  </si>
  <si>
    <t>0405-0003</t>
  </si>
  <si>
    <t>Rasmindo Rafael Zunguza</t>
  </si>
  <si>
    <t>876737953</t>
  </si>
  <si>
    <t>Mutindiri</t>
  </si>
  <si>
    <t>0405-0004</t>
  </si>
  <si>
    <t>Santos Valegi Sona</t>
  </si>
  <si>
    <t>872013074</t>
  </si>
  <si>
    <t>Toronga</t>
  </si>
  <si>
    <t>0405-0005</t>
  </si>
  <si>
    <t>Valentim Piorino Francisco</t>
  </si>
  <si>
    <t>869017794</t>
  </si>
  <si>
    <t>Dongonda</t>
  </si>
  <si>
    <t>0406-0001</t>
  </si>
  <si>
    <t>Manuel Davide Machava</t>
  </si>
  <si>
    <t>846114397</t>
  </si>
  <si>
    <t>Shirazi Faruk Jussub</t>
  </si>
  <si>
    <t>Dondo</t>
  </si>
  <si>
    <t>Mutua</t>
  </si>
  <si>
    <t>0407-0001</t>
  </si>
  <si>
    <t>Zaintuna Alberto</t>
  </si>
  <si>
    <t>876428368</t>
  </si>
  <si>
    <t>Deolinda Alberto</t>
  </si>
  <si>
    <t>Gorongosa</t>
  </si>
  <si>
    <t>Canda</t>
  </si>
  <si>
    <t>0407-0002</t>
  </si>
  <si>
    <t>Ines libaneo</t>
  </si>
  <si>
    <t>874899072</t>
  </si>
  <si>
    <t>Diolinda Alberto</t>
  </si>
  <si>
    <t>Púnguè</t>
  </si>
  <si>
    <t>0407-0003</t>
  </si>
  <si>
    <t>Abdul Mangassane</t>
  </si>
  <si>
    <t>867547622</t>
  </si>
  <si>
    <t>Cavalo</t>
  </si>
  <si>
    <t>0407-0004</t>
  </si>
  <si>
    <t>Carlos Muchanga</t>
  </si>
  <si>
    <t>865678015</t>
  </si>
  <si>
    <t>Tambarara</t>
  </si>
  <si>
    <t>0407-0005</t>
  </si>
  <si>
    <t>Jorge César</t>
  </si>
  <si>
    <t>873895339</t>
  </si>
  <si>
    <t>Muziwangunguni</t>
  </si>
  <si>
    <t>0408-0001</t>
  </si>
  <si>
    <t>Acacio Emilio Policarpo</t>
  </si>
  <si>
    <t>867197531</t>
  </si>
  <si>
    <t>Samuel R. M. Matate</t>
  </si>
  <si>
    <t>Machanga</t>
  </si>
  <si>
    <t>Javane</t>
  </si>
  <si>
    <t>0408-0002</t>
  </si>
  <si>
    <t>Carlota Pedro Matos</t>
  </si>
  <si>
    <t>871139995</t>
  </si>
  <si>
    <t>Machanga Sede</t>
  </si>
  <si>
    <t>0408-0003</t>
  </si>
  <si>
    <t>Isaquiel A. C. Meque</t>
  </si>
  <si>
    <t>878702427</t>
  </si>
  <si>
    <t>Galinha</t>
  </si>
  <si>
    <t>0408-0004</t>
  </si>
  <si>
    <t>Joao Filipe</t>
  </si>
  <si>
    <t>861713909</t>
  </si>
  <si>
    <t>0408-0005</t>
  </si>
  <si>
    <t>Julia Joaquim C. Alberto</t>
  </si>
  <si>
    <t>848687168</t>
  </si>
  <si>
    <t>Zimuala</t>
  </si>
  <si>
    <t>0408-0006</t>
  </si>
  <si>
    <t>Ruth Mande Tacaizana</t>
  </si>
  <si>
    <t>842421251</t>
  </si>
  <si>
    <t>Divinhe Sede</t>
  </si>
  <si>
    <t>0409-0001</t>
  </si>
  <si>
    <t>Carlos Manuel Daimone</t>
  </si>
  <si>
    <t>876213867</t>
  </si>
  <si>
    <t>Sérgio Manuel</t>
  </si>
  <si>
    <t>Marromeu</t>
  </si>
  <si>
    <t>Malingapansi</t>
  </si>
  <si>
    <t>0410-0001</t>
  </si>
  <si>
    <t>Amelia Francisco Simango</t>
  </si>
  <si>
    <t>871095442</t>
  </si>
  <si>
    <t>Baptista Tome Armando</t>
  </si>
  <si>
    <t>Muanza</t>
  </si>
  <si>
    <t>0410-0002</t>
  </si>
  <si>
    <t>Arcidio Goncalves Nhanrave</t>
  </si>
  <si>
    <t>878495852</t>
  </si>
  <si>
    <t>Muanza Sede</t>
  </si>
  <si>
    <t>0410-0003</t>
  </si>
  <si>
    <t>Beatriz Jaime Jose</t>
  </si>
  <si>
    <t>872846290</t>
  </si>
  <si>
    <t>Honve</t>
  </si>
  <si>
    <t>0410-0004</t>
  </si>
  <si>
    <t>Daniel Simao Tomas Luis</t>
  </si>
  <si>
    <t>868408364</t>
  </si>
  <si>
    <t>Chenapamimba</t>
  </si>
  <si>
    <t>0410-0005</t>
  </si>
  <si>
    <t>Joao Jaime Machapata</t>
  </si>
  <si>
    <t>875754530</t>
  </si>
  <si>
    <t>Nhamassindzira</t>
  </si>
  <si>
    <t>0410-0007</t>
  </si>
  <si>
    <t>Vitorino Josse Vinho</t>
  </si>
  <si>
    <t>876090845</t>
  </si>
  <si>
    <t>Wiriquize</t>
  </si>
  <si>
    <t>0410-0006</t>
  </si>
  <si>
    <t>Liliana Antonio Deusse</t>
  </si>
  <si>
    <t>872000674</t>
  </si>
  <si>
    <t>0411-0001</t>
  </si>
  <si>
    <t>Adelino Patrício Bitone Chuca</t>
  </si>
  <si>
    <t>842674056</t>
  </si>
  <si>
    <t>Anastacio Mauro Vasconcelos</t>
  </si>
  <si>
    <t>Nhamatanda</t>
  </si>
  <si>
    <t>Metuchira</t>
  </si>
  <si>
    <t>0411-0002</t>
  </si>
  <si>
    <t>Afonso Antonio Haua</t>
  </si>
  <si>
    <t>844002517</t>
  </si>
  <si>
    <t>Lamego</t>
  </si>
  <si>
    <t>0411-0003</t>
  </si>
  <si>
    <t>Antonio Felix Domingos Nsona</t>
  </si>
  <si>
    <t>847370058</t>
  </si>
  <si>
    <t>Bebedo</t>
  </si>
  <si>
    <t>0411-0004</t>
  </si>
  <si>
    <t>Armando Joaquim Charua</t>
  </si>
  <si>
    <t>846505871</t>
  </si>
  <si>
    <t>Chirassicua</t>
  </si>
  <si>
    <t>0411-0005</t>
  </si>
  <si>
    <t>Hilario Arnando Cardoso</t>
  </si>
  <si>
    <t>870442101</t>
  </si>
  <si>
    <t>Matenga</t>
  </si>
  <si>
    <t>0411-0006</t>
  </si>
  <si>
    <t>Isaak Castrim Jossefa</t>
  </si>
  <si>
    <t>864318250</t>
  </si>
  <si>
    <t>0411-0007</t>
  </si>
  <si>
    <t>Safare Limbecane Felisberto</t>
  </si>
  <si>
    <t>861569962</t>
  </si>
  <si>
    <t>Tica Sede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</si>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</sst>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theme="1"/>
      <name val="Open Sans"/>
    </font>
    <font>
      <sz val="10"/>
      <color theme="1"/>
      <name val="Arial"/>
      <family val="2"/>
      <scheme val="minor"/>
    </font>
    <font>
      <sz val="11"/>
      <color theme="1"/>
      <name val="Aveni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0" fillId="0" borderId="0" xfId="0" pivotButton="1"/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Costa Dias" refreshedDate="46129.684939236111" createdVersion="8" refreshedVersion="8" minRefreshableVersion="3" recordCount="120" xr:uid="{00D2F985-308C-7540-9792-C2FD1C5DF563}">
  <cacheSource type="worksheet">
    <worksheetSource ref="A1:L121" sheet="Sofala"/>
  </cacheSource>
  <cacheFields count="12">
    <cacheField name="Extensionist_ID" numFmtId="0">
      <sharedItems count="87">
        <s v="0401-0001"/>
        <s v="0401-0002"/>
        <s v="0401-0003"/>
        <s v="0401-0004"/>
        <s v="0401-0005"/>
        <s v="0401-0006"/>
        <s v="0401-0007"/>
        <s v="0401-0008"/>
        <s v="0401-0009"/>
        <s v="0402-0001"/>
        <s v="0402-0002"/>
        <s v="0402-0003"/>
        <s v="0402-0004"/>
        <s v="0402-0005"/>
        <s v="0402-0006"/>
        <s v="0402-0007"/>
        <s v="0402-0008"/>
        <s v="0402-0009"/>
        <s v="0402-0010"/>
        <s v="0402-0011"/>
        <s v="0402-0012"/>
        <s v="0402-0013"/>
        <s v="0402-0014"/>
        <s v="0402-0015"/>
        <s v="0403-0001"/>
        <s v="0403-0002"/>
        <s v="0403-0003"/>
        <s v="0403-0004"/>
        <s v="0403-0005"/>
        <s v="0403-0006"/>
        <s v="0403-0007"/>
        <s v="0403-0008"/>
        <s v="0403-0009"/>
        <s v="0403-0010"/>
        <s v="0403-0011"/>
        <s v="0403-0012"/>
        <s v="0403-0013"/>
        <s v="0403-0014"/>
        <s v="0403-0015"/>
        <s v="0403-0016"/>
        <s v="0403-0017"/>
        <s v="0404-0001"/>
        <s v="0404-0002"/>
        <s v="0404-0003"/>
        <s v="0404-0004"/>
        <s v="0404-0005"/>
        <s v="0404-0006"/>
        <s v="0404-0007"/>
        <s v="0404-0008"/>
        <s v="0404-0009"/>
        <s v="0404-0010"/>
        <s v="0404-0011"/>
        <s v="0404-0012"/>
        <s v="0404-0013"/>
        <s v="0404-0014"/>
        <s v="0405-0001"/>
        <s v="0405-0002"/>
        <s v="0405-0003"/>
        <s v="0405-0004"/>
        <s v="0405-0005"/>
        <s v="0406-0001"/>
        <s v="0407-0001"/>
        <s v="0407-0002"/>
        <s v="0407-0003"/>
        <s v="0407-0004"/>
        <s v="0407-0005"/>
        <s v="0408-0001"/>
        <s v="0408-0002"/>
        <s v="0408-0003"/>
        <s v="0408-0004"/>
        <s v="0408-0005"/>
        <s v="0408-0006"/>
        <s v="0409-0001"/>
        <s v="0410-0001"/>
        <s v="0410-0002"/>
        <s v="0410-0003"/>
        <s v="0410-0004"/>
        <s v="0410-0005"/>
        <s v="0410-0007"/>
        <s v="0410-0006"/>
        <s v="0411-0001"/>
        <s v="0411-0002"/>
        <s v="0411-0003"/>
        <s v="0411-0004"/>
        <s v="0411-0005"/>
        <s v="0411-0006"/>
        <s v="0411-0007"/>
      </sharedItems>
    </cacheField>
    <cacheField name="Extensionist" numFmtId="0">
      <sharedItems count="86">
        <s v="Adia Manguengue"/>
        <s v="Ana Cleusia Filipe Mateus"/>
        <s v="Argentina Sande"/>
        <s v="Fátima Helena Lobo"/>
        <s v="Hélder Carmona Muchanga"/>
        <s v="Laura Comatiporte"/>
        <s v="Nelinha Hibraimo"/>
        <s v="Nelinha Ibraimo"/>
        <s v="Vitoria Andre Chango"/>
        <s v="Adelina Massora"/>
        <s v="Alberto Marceta"/>
        <s v="Amelia Maurai"/>
        <s v="Augusto Nhama"/>
        <s v="Helder Zunguze"/>
        <s v="Issa Pedro Aguiar"/>
        <s v="Issufo Gani"/>
        <s v="Ivone Afonso"/>
        <s v="Joao Chimucuacua"/>
        <s v="Leonora Tequite"/>
        <s v="Mamade Hanifo"/>
        <s v="Maria Raposo"/>
        <s v="Moises Colele"/>
        <s v="Sergio Manuel"/>
        <s v="Ana Lucas Jose Thomange"/>
        <s v="Ananias Zeca Airone"/>
        <s v="Berto Macino Chicico"/>
        <s v="Carlos Roque Quembo"/>
        <s v="Elisa Sarifo Sunzumua"/>
        <s v="Eusilio Joao da Silva"/>
        <s v="Filipe Paulino Saute"/>
        <s v="Helio Joao Manidide Sigauque"/>
        <s v="Jeremias Felix Chinassassata"/>
        <s v="Joao Jose Bogue"/>
        <s v="Jubia Fatima Aguiar"/>
        <s v="Mafalda Stela Barrata da Silva"/>
        <s v="Manuel Carlos Tomas Jofrice"/>
        <s v="Mariano Biriate Colete"/>
        <s v="Quisito Inacio Breu Novo"/>
        <s v="Rainha Levecene"/>
        <s v="Rodrigues Jose Manuel Bero"/>
        <s v="Carla Chico Bene"/>
        <s v="Cremilde da Odete Sande"/>
        <s v="Fatima Alfredo Bulaque"/>
        <s v="Francisco Manuel Zeca"/>
        <s v="Gerito Gonçalves"/>
        <s v="Jone Alfredo Ranquene"/>
        <s v="Jorge Francisco Machava"/>
        <s v="Jose Patrocinio Zeca Mureua"/>
        <s v="Manuenca Zeca Chaima"/>
        <s v="Miguel Jovencio Francisco"/>
        <s v="Roquia Mario Fernando Valiz"/>
        <s v="Sara Ernesto Adelino Portugal"/>
        <s v="Serrano Lacerda J. Franqueza"/>
        <s v="Tomasina Jose Francisco"/>
        <s v="Amelia Mateus"/>
        <s v="Joao Manuel Bernardo"/>
        <s v="Rasmindo Rafael Zunguza"/>
        <s v="Santos Valegi Sona"/>
        <s v="Valentim Piorino Francisco"/>
        <s v="Manuel Davide Machava"/>
        <s v="Zaintuna Alberto"/>
        <s v="Ines libaneo"/>
        <s v="Abdul Mangassane"/>
        <s v="Carlos Muchanga"/>
        <s v="Jorge César"/>
        <s v="Acacio Emilio Policarpo"/>
        <s v="Carlota Pedro Matos"/>
        <s v="Isaquiel A. C. Meque"/>
        <s v="Joao Filipe"/>
        <s v="Julia Joaquim C. Alberto"/>
        <s v="Ruth Mande Tacaizana"/>
        <s v="Carlos Manuel Daimone"/>
        <s v="Amelia Francisco Simango"/>
        <s v="Arcidio Goncalves Nhanrave"/>
        <s v="Beatriz Jaime Jose"/>
        <s v="Daniel Simao Tomas Luis"/>
        <s v="Joao Jaime Machapata"/>
        <s v="Vitorino Josse Vinho"/>
        <s v="Liliana Antonio Deusse"/>
        <s v="Adelino Patrício Bitone Chuca"/>
        <s v="Afonso Antonio Haua"/>
        <s v="Antonio Felix Domingos Nsona"/>
        <s v="Armando Joaquim Charua"/>
        <s v="Hilario Arnando Cardoso"/>
        <s v="Isaak Castrim Jossefa"/>
        <s v="Safare Limbecane Felisberto"/>
      </sharedItems>
    </cacheField>
    <cacheField name="Extensionist Contact" numFmtId="0">
      <sharedItems containsMixedTypes="1" containsNumber="1" containsInteger="1" minValue="867878815" maxValue="878495852"/>
    </cacheField>
    <cacheField name="Supervisor" numFmtId="0">
      <sharedItems/>
    </cacheField>
    <cacheField name="Supervisor Contact" numFmtId="0">
      <sharedItems containsSemiMixedTypes="0" containsString="0" containsNumber="1" containsInteger="1" minValue="840522555" maxValue="879095867"/>
    </cacheField>
    <cacheField name="Province" numFmtId="0">
      <sharedItems/>
    </cacheField>
    <cacheField name="District" numFmtId="0">
      <sharedItems/>
    </cacheField>
    <cacheField name="Location" numFmtId="0">
      <sharedItems containsBlank="1"/>
    </cacheField>
    <cacheField name="Kit" numFmtId="0">
      <sharedItems/>
    </cacheField>
    <cacheField name="Previous Quantity" numFmtId="0">
      <sharedItems containsSemiMixedTypes="0" containsString="0" containsNumber="1" containsInteger="1" minValue="0" maxValue="2285"/>
    </cacheField>
    <cacheField name=" Quantities MAAP" numFmtId="0">
      <sharedItems containsSemiMixedTypes="0" containsString="0" containsNumber="1" containsInteger="1" minValue="0" maxValue="709"/>
    </cacheField>
    <cacheField name="Variation" numFmtId="0">
      <sharedItems containsSemiMixedTypes="0" containsString="0" containsNumber="1" containsInteger="1" minValue="-1946" maxValue="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s v="845248854"/>
    <s v="Anifa Manuel Ferreira Ramessane"/>
    <n v="843766667"/>
    <s v="Sofala"/>
    <s v="Beira"/>
    <s v="Soger"/>
    <s v="Kit 2"/>
    <n v="4"/>
    <n v="4"/>
    <n v="0"/>
  </r>
  <r>
    <x v="1"/>
    <x v="1"/>
    <s v="866463755"/>
    <s v="Anifa Manuel Ferreira Ramessane"/>
    <n v="843766667"/>
    <s v="Sofala"/>
    <s v="Beira"/>
    <s v="Chamba"/>
    <s v="Kit 2"/>
    <n v="18"/>
    <n v="18"/>
    <n v="0"/>
  </r>
  <r>
    <x v="2"/>
    <x v="2"/>
    <s v="825371530"/>
    <s v="Anifa Manuel Ferreira Ramessane"/>
    <n v="843766667"/>
    <s v="Sofala"/>
    <s v="Beira"/>
    <s v="Mbatue"/>
    <s v="Kit 2"/>
    <n v="18"/>
    <n v="19"/>
    <n v="1"/>
  </r>
  <r>
    <x v="3"/>
    <x v="3"/>
    <s v="845396431"/>
    <s v="Anifa Manuel Ferreira Ramessane"/>
    <n v="843766667"/>
    <s v="Sofala"/>
    <s v="Beira"/>
    <s v="Miquejo"/>
    <s v="Kit 2"/>
    <n v="91"/>
    <n v="53"/>
    <n v="-38"/>
  </r>
  <r>
    <x v="4"/>
    <x v="4"/>
    <s v="841087400"/>
    <s v="Anifa Manuel Ferreira Ramessane"/>
    <n v="843766667"/>
    <s v="Sofala"/>
    <s v="Beira"/>
    <s v="Chissape"/>
    <s v="Kit 2"/>
    <n v="7"/>
    <n v="7"/>
    <n v="0"/>
  </r>
  <r>
    <x v="5"/>
    <x v="5"/>
    <s v="870256363"/>
    <s v="Anifa Manuel Ferreira Ramessane"/>
    <n v="843766667"/>
    <s v="Sofala"/>
    <s v="Beira"/>
    <s v="Ceramica"/>
    <s v="Kit 2"/>
    <n v="1"/>
    <n v="1"/>
    <n v="0"/>
  </r>
  <r>
    <x v="6"/>
    <x v="6"/>
    <s v="871014865"/>
    <s v="Anifa Manuel Ferreira Ramessane"/>
    <n v="843766667"/>
    <s v="Sofala"/>
    <s v="Beira"/>
    <s v="Povoa"/>
    <s v="Kit 2"/>
    <n v="22"/>
    <n v="17"/>
    <n v="-5"/>
  </r>
  <r>
    <x v="7"/>
    <x v="7"/>
    <s v="871014865"/>
    <s v="Anifa Manuel Ferreira Ramessane"/>
    <n v="843766667"/>
    <s v="Sofala"/>
    <s v="Beira"/>
    <s v="Mungassa"/>
    <s v="Kit 2"/>
    <n v="22"/>
    <n v="18"/>
    <n v="-4"/>
  </r>
  <r>
    <x v="8"/>
    <x v="8"/>
    <s v="846281927"/>
    <s v="Anifa Manuel Ferreira Ramessane"/>
    <n v="843766667"/>
    <s v="Sofala"/>
    <s v="Beira"/>
    <s v="Ngupa"/>
    <s v="Kit 2"/>
    <n v="13"/>
    <n v="13"/>
    <n v="0"/>
  </r>
  <r>
    <x v="9"/>
    <x v="9"/>
    <s v="867878815"/>
    <s v="Ayrton Mael"/>
    <n v="879095867"/>
    <s v="Sofala"/>
    <s v="Buzi"/>
    <s v="Inharongue"/>
    <s v="Kit 2"/>
    <n v="1997"/>
    <n v="88"/>
    <n v="-1909"/>
  </r>
  <r>
    <x v="10"/>
    <x v="10"/>
    <s v="862787540"/>
    <s v="Ayrton Mael"/>
    <n v="879095867"/>
    <s v="Sofala"/>
    <s v="Buzi"/>
    <s v="Guara"/>
    <s v="Kit 1"/>
    <n v="42"/>
    <n v="340"/>
    <n v="298"/>
  </r>
  <r>
    <x v="10"/>
    <x v="10"/>
    <s v="862787540"/>
    <s v="Ayrton Mael"/>
    <n v="879095867"/>
    <s v="Sofala"/>
    <s v="Buzi"/>
    <s v="Guara"/>
    <s v="Kit 2"/>
    <n v="145"/>
    <n v="0"/>
    <n v="-145"/>
  </r>
  <r>
    <x v="11"/>
    <x v="11"/>
    <s v="843432086"/>
    <s v="Ayrton Mael"/>
    <n v="879095867"/>
    <s v="Sofala"/>
    <s v="Buzi"/>
    <s v="Buzi Sede"/>
    <s v="Kit 1"/>
    <n v="633"/>
    <n v="389"/>
    <n v="-244"/>
  </r>
  <r>
    <x v="11"/>
    <x v="11"/>
    <s v="843432086"/>
    <s v="Ayrton Mael"/>
    <n v="879095867"/>
    <s v="Sofala"/>
    <s v="Buzi"/>
    <s v="Buzi Sede"/>
    <s v="Kit 2"/>
    <n v="870"/>
    <n v="0"/>
    <n v="-870"/>
  </r>
  <r>
    <x v="12"/>
    <x v="12"/>
    <s v="879843831"/>
    <s v="Ayrton Mael"/>
    <n v="879095867"/>
    <s v="Sofala"/>
    <s v="Buzi"/>
    <s v="Guara"/>
    <s v="Kit 1"/>
    <n v="435"/>
    <n v="201"/>
    <n v="-234"/>
  </r>
  <r>
    <x v="12"/>
    <x v="12"/>
    <s v="879843831"/>
    <s v="Ayrton Mael"/>
    <n v="879095867"/>
    <s v="Sofala"/>
    <s v="Buzi"/>
    <s v="Guara"/>
    <s v="Kit 2"/>
    <n v="301"/>
    <n v="0"/>
    <n v="-301"/>
  </r>
  <r>
    <x v="13"/>
    <x v="13"/>
    <s v="871960498"/>
    <s v="Ayrton Mael"/>
    <n v="879095867"/>
    <s v="Sofala"/>
    <s v="Buzi"/>
    <s v="Bandua"/>
    <s v="Kit 1"/>
    <n v="686"/>
    <n v="0"/>
    <n v="-686"/>
  </r>
  <r>
    <x v="13"/>
    <x v="13"/>
    <s v="871960498"/>
    <s v="Ayrton Mael"/>
    <n v="879095867"/>
    <s v="Sofala"/>
    <s v="Buzi"/>
    <s v="Bandua"/>
    <s v="Kit 2"/>
    <n v="978"/>
    <n v="0"/>
    <n v="-978"/>
  </r>
  <r>
    <x v="14"/>
    <x v="14"/>
    <s v="849214818"/>
    <s v="Ayrton Mael"/>
    <n v="879095867"/>
    <s v="Sofala"/>
    <s v="Buzi"/>
    <s v="Grudja"/>
    <s v="Kit 1"/>
    <n v="929"/>
    <n v="0"/>
    <n v="-929"/>
  </r>
  <r>
    <x v="14"/>
    <x v="14"/>
    <s v="849214818"/>
    <s v="Ayrton Mael"/>
    <n v="879095867"/>
    <s v="Sofala"/>
    <s v="Buzi"/>
    <s v="Grudja"/>
    <s v="Kit 2"/>
    <n v="453"/>
    <n v="537"/>
    <n v="84"/>
  </r>
  <r>
    <x v="15"/>
    <x v="15"/>
    <s v="870402372"/>
    <s v="Ayrton Mael"/>
    <n v="879095867"/>
    <s v="Sofala"/>
    <s v="Buzi"/>
    <s v="Nova Sofala"/>
    <s v="Kit 1"/>
    <n v="962"/>
    <n v="537"/>
    <n v="-425"/>
  </r>
  <r>
    <x v="16"/>
    <x v="16"/>
    <s v="879154260"/>
    <s v="Ayrton Mael"/>
    <n v="879095867"/>
    <s v="Sofala"/>
    <s v="Buzi"/>
    <s v="Bandua"/>
    <s v="Kit 2"/>
    <n v="662"/>
    <n v="537"/>
    <n v="-125"/>
  </r>
  <r>
    <x v="17"/>
    <x v="17"/>
    <s v="875568213"/>
    <s v="Ayrton Mael"/>
    <n v="879095867"/>
    <s v="Sofala"/>
    <s v="Buzi"/>
    <s v="Ampara"/>
    <s v="Kit 2"/>
    <n v="786"/>
    <n v="537"/>
    <n v="-249"/>
  </r>
  <r>
    <x v="18"/>
    <x v="18"/>
    <s v="861149990"/>
    <s v="Ayrton Mael"/>
    <n v="879095867"/>
    <s v="Sofala"/>
    <s v="Buzi"/>
    <s v="Buzi Sede"/>
    <s v="Kit 1"/>
    <n v="94"/>
    <n v="148"/>
    <n v="54"/>
  </r>
  <r>
    <x v="18"/>
    <x v="18"/>
    <s v="861149990"/>
    <s v="Ayrton Mael"/>
    <n v="879095867"/>
    <s v="Sofala"/>
    <s v="Buzi"/>
    <s v="Buzi Sede"/>
    <s v="Kit 2"/>
    <n v="84"/>
    <n v="0"/>
    <n v="-84"/>
  </r>
  <r>
    <x v="19"/>
    <x v="19"/>
    <s v="845135068"/>
    <s v="Ayrton Mael"/>
    <n v="879095867"/>
    <s v="Sofala"/>
    <s v="Buzi"/>
    <s v="Buzi Sede"/>
    <s v="Kit 2"/>
    <n v="459"/>
    <n v="0"/>
    <n v="-459"/>
  </r>
  <r>
    <x v="20"/>
    <x v="20"/>
    <s v="862121080"/>
    <s v="Ayrton Mael"/>
    <n v="879095867"/>
    <s v="Sofala"/>
    <s v="Buzi"/>
    <s v="Buzi Sede"/>
    <s v="Kit 2"/>
    <n v="211"/>
    <n v="0"/>
    <n v="-211"/>
  </r>
  <r>
    <x v="21"/>
    <x v="21"/>
    <s v="861090750"/>
    <s v="Ayrton Mael"/>
    <n v="879095867"/>
    <s v="Sofala"/>
    <s v="Buzi"/>
    <s v="Estaquinha Sede"/>
    <s v="Kit 1"/>
    <n v="1595"/>
    <n v="0"/>
    <n v="-1595"/>
  </r>
  <r>
    <x v="21"/>
    <x v="21"/>
    <s v="861090750"/>
    <s v="Ayrton Mael"/>
    <n v="879095867"/>
    <s v="Sofala"/>
    <s v="Buzi"/>
    <s v="Estaquinha Sede"/>
    <s v="Kit 2"/>
    <n v="0"/>
    <n v="537"/>
    <n v="537"/>
  </r>
  <r>
    <x v="22"/>
    <x v="22"/>
    <s v="850317944"/>
    <s v="Ayrton Mael"/>
    <n v="879095867"/>
    <s v="Sofala"/>
    <s v="Buzi"/>
    <s v="Inhamuchindo"/>
    <s v="Kit 2"/>
    <n v="1930"/>
    <n v="537"/>
    <n v="-1393"/>
  </r>
  <r>
    <x v="23"/>
    <x v="9"/>
    <n v="867878815"/>
    <s v="Ayrton Mael"/>
    <n v="879095867"/>
    <s v="Sofala"/>
    <s v="Buzi"/>
    <s v="Inharongue"/>
    <s v="Kit 1"/>
    <n v="0"/>
    <n v="449"/>
    <n v="449"/>
  </r>
  <r>
    <x v="24"/>
    <x v="23"/>
    <s v="847230770"/>
    <s v="Filipe Paulino Saute"/>
    <n v="875454103"/>
    <s v="Sofala"/>
    <s v="Caia"/>
    <s v="Sena-sede"/>
    <s v="Kit 1"/>
    <n v="2"/>
    <n v="185"/>
    <n v="183"/>
  </r>
  <r>
    <x v="24"/>
    <x v="23"/>
    <s v="847230770"/>
    <s v="Filipe Paulino Saute"/>
    <n v="875454103"/>
    <s v="Sofala"/>
    <s v="Caia"/>
    <s v="Sena-sede"/>
    <s v="Kit 2"/>
    <n v="279"/>
    <n v="0"/>
    <n v="-279"/>
  </r>
  <r>
    <x v="25"/>
    <x v="24"/>
    <s v="861700861"/>
    <s v="Filipe Paulino Saute"/>
    <n v="875454103"/>
    <s v="Sofala"/>
    <s v="Caia"/>
    <s v="Sena Sede"/>
    <s v="Kit 1"/>
    <n v="452"/>
    <n v="637"/>
    <n v="185"/>
  </r>
  <r>
    <x v="25"/>
    <x v="24"/>
    <s v="861700861"/>
    <s v="Filipe Paulino Saute"/>
    <n v="875454103"/>
    <s v="Sofala"/>
    <s v="Caia"/>
    <s v="Sena Sede"/>
    <s v="Kit 2"/>
    <n v="181"/>
    <n v="0"/>
    <n v="-181"/>
  </r>
  <r>
    <x v="26"/>
    <x v="25"/>
    <s v="848348060"/>
    <s v="Filipe Paulino Saute"/>
    <n v="875454103"/>
    <s v="Sofala"/>
    <s v="Caia"/>
    <s v="Murraça"/>
    <s v="Kit 1"/>
    <n v="12"/>
    <n v="0"/>
    <n v="-12"/>
  </r>
  <r>
    <x v="26"/>
    <x v="25"/>
    <s v="848348060"/>
    <s v="Filipe Paulino Saute"/>
    <n v="875454103"/>
    <s v="Sofala"/>
    <s v="Caia"/>
    <s v="Murraça"/>
    <s v="Kit 2"/>
    <n v="199"/>
    <n v="0"/>
    <n v="-199"/>
  </r>
  <r>
    <x v="27"/>
    <x v="26"/>
    <s v="848542608"/>
    <s v="Filipe Paulino Saute"/>
    <n v="875454103"/>
    <s v="Sofala"/>
    <s v="Caia"/>
    <s v="Murraça"/>
    <s v="Kit 2"/>
    <n v="177"/>
    <n v="0"/>
    <n v="-177"/>
  </r>
  <r>
    <x v="28"/>
    <x v="27"/>
    <s v="842873785"/>
    <s v="Filipe Paulino Saute"/>
    <n v="875454103"/>
    <s v="Sofala"/>
    <s v="Caia"/>
    <s v="Murraça"/>
    <s v="Kit 1"/>
    <n v="29"/>
    <n v="0"/>
    <n v="-29"/>
  </r>
  <r>
    <x v="28"/>
    <x v="27"/>
    <s v="842873785"/>
    <s v="Filipe Paulino Saute"/>
    <n v="875454103"/>
    <s v="Sofala"/>
    <s v="Caia"/>
    <s v="Murraça"/>
    <s v="Kit 2"/>
    <n v="73"/>
    <n v="0"/>
    <n v="-73"/>
  </r>
  <r>
    <x v="29"/>
    <x v="28"/>
    <s v="871027410"/>
    <s v="Filipe Paulino Saute"/>
    <n v="875454103"/>
    <s v="Sofala"/>
    <s v="Caia"/>
    <s v="Murraça"/>
    <s v="Kit 2"/>
    <n v="249"/>
    <n v="249"/>
    <n v="0"/>
  </r>
  <r>
    <x v="30"/>
    <x v="29"/>
    <s v="875454103"/>
    <s v="Filipe Paulino Saute"/>
    <n v="875454103"/>
    <s v="Sofala"/>
    <s v="Caia"/>
    <s v="Caia sede"/>
    <s v="Kit 1"/>
    <n v="8"/>
    <n v="0"/>
    <n v="-8"/>
  </r>
  <r>
    <x v="30"/>
    <x v="29"/>
    <s v="875454103"/>
    <s v="Filipe Paulino Saute"/>
    <n v="875454103"/>
    <s v="Sofala"/>
    <s v="Caia"/>
    <s v="Caia sede"/>
    <s v="Kit 2"/>
    <n v="66"/>
    <n v="0"/>
    <n v="-66"/>
  </r>
  <r>
    <x v="31"/>
    <x v="30"/>
    <s v="848641592"/>
    <s v="Filipe Paulino Saute"/>
    <n v="875454103"/>
    <s v="Sofala"/>
    <s v="Caia"/>
    <s v="Caia sede"/>
    <s v="Kit 1"/>
    <n v="7"/>
    <n v="0"/>
    <n v="-7"/>
  </r>
  <r>
    <x v="31"/>
    <x v="30"/>
    <s v="848641592"/>
    <s v="Filipe Paulino Saute"/>
    <n v="875454103"/>
    <s v="Sofala"/>
    <s v="Caia"/>
    <s v="Caia sede"/>
    <s v="Kit 2"/>
    <n v="89"/>
    <n v="0"/>
    <n v="-89"/>
  </r>
  <r>
    <x v="32"/>
    <x v="31"/>
    <s v="861700861"/>
    <s v="Filipe Paulino Saute"/>
    <n v="875454103"/>
    <s v="Sofala"/>
    <s v="Caia"/>
    <s v="Licoma"/>
    <s v="Kit 1"/>
    <n v="185"/>
    <n v="123"/>
    <n v="-62"/>
  </r>
  <r>
    <x v="33"/>
    <x v="32"/>
    <s v="842970123"/>
    <s v="Filipe Paulino Saute"/>
    <n v="875454103"/>
    <s v="Sofala"/>
    <s v="Caia"/>
    <s v="Murraça"/>
    <s v="Kit 1"/>
    <n v="7"/>
    <n v="0"/>
    <n v="-7"/>
  </r>
  <r>
    <x v="33"/>
    <x v="32"/>
    <s v="842970123"/>
    <s v="Filipe Paulino Saute"/>
    <n v="875454103"/>
    <s v="Sofala"/>
    <s v="Caia"/>
    <s v="Murraça"/>
    <s v="Kit 2"/>
    <n v="90"/>
    <n v="0"/>
    <n v="-90"/>
  </r>
  <r>
    <x v="34"/>
    <x v="33"/>
    <s v="846645586"/>
    <s v="Filipe Paulino Saute"/>
    <n v="875454103"/>
    <s v="Sofala"/>
    <s v="Caia"/>
    <s v="Caia sede"/>
    <s v="Kit 1"/>
    <n v="44"/>
    <n v="44"/>
    <n v="0"/>
  </r>
  <r>
    <x v="35"/>
    <x v="34"/>
    <s v="874704181"/>
    <s v="Filipe Paulino Saute"/>
    <n v="875454103"/>
    <s v="Sofala"/>
    <s v="Caia"/>
    <s v="Caia sede"/>
    <s v="Kit 1"/>
    <n v="87"/>
    <n v="0"/>
    <n v="-87"/>
  </r>
  <r>
    <x v="36"/>
    <x v="35"/>
    <s v="842715576"/>
    <s v="Filipe Paulino Saute"/>
    <n v="875454103"/>
    <s v="Sofala"/>
    <s v="Caia"/>
    <s v="Caia sede"/>
    <s v="Kit 1"/>
    <n v="163"/>
    <n v="166"/>
    <n v="3"/>
  </r>
  <r>
    <x v="37"/>
    <x v="36"/>
    <s v="843797455"/>
    <s v="Filipe Paulino Saute"/>
    <n v="875454103"/>
    <s v="Sofala"/>
    <s v="Caia"/>
    <s v="Caia sede"/>
    <s v="Kit 1"/>
    <n v="15"/>
    <n v="8"/>
    <n v="-7"/>
  </r>
  <r>
    <x v="38"/>
    <x v="37"/>
    <s v="879131998"/>
    <s v="Filipe Paulino Saute"/>
    <n v="875454103"/>
    <s v="Sofala"/>
    <s v="Caia"/>
    <s v="NDORO"/>
    <s v="Kit 1"/>
    <n v="162"/>
    <n v="66"/>
    <n v="-96"/>
  </r>
  <r>
    <x v="39"/>
    <x v="38"/>
    <s v="871163360"/>
    <s v="Filipe Paulino Saute"/>
    <n v="875454103"/>
    <s v="Sofala"/>
    <s v="Caia"/>
    <s v="Caia sede"/>
    <s v="Kit 1"/>
    <n v="14"/>
    <n v="0"/>
    <n v="-14"/>
  </r>
  <r>
    <x v="39"/>
    <x v="38"/>
    <s v="871163360"/>
    <s v="Filipe Paulino Saute"/>
    <n v="875454103"/>
    <s v="Sofala"/>
    <s v="Caia"/>
    <s v="Caia sede"/>
    <s v="Kit 2"/>
    <n v="76"/>
    <n v="0"/>
    <n v="-76"/>
  </r>
  <r>
    <x v="40"/>
    <x v="39"/>
    <s v="872075134"/>
    <s v="Filipe Paulino Saute"/>
    <n v="875454103"/>
    <s v="Sofala"/>
    <s v="Caia"/>
    <s v="Caia sede"/>
    <s v="Kit 1"/>
    <n v="231"/>
    <n v="193"/>
    <n v="-38"/>
  </r>
  <r>
    <x v="41"/>
    <x v="40"/>
    <s v="840635649"/>
    <s v="Castro Manuel Mendes"/>
    <n v="860795776"/>
    <s v="Sofala"/>
    <s v="Chemba"/>
    <s v="Chemba sede"/>
    <s v="Kit 1"/>
    <n v="385"/>
    <n v="157"/>
    <n v="-228"/>
  </r>
  <r>
    <x v="41"/>
    <x v="40"/>
    <s v="840635649"/>
    <s v="Castro Manuel Mendes"/>
    <n v="860795776"/>
    <s v="Sofala"/>
    <s v="Chemba"/>
    <s v="Chemba sede"/>
    <s v="Kit 2"/>
    <n v="122"/>
    <n v="0"/>
    <n v="-122"/>
  </r>
  <r>
    <x v="42"/>
    <x v="41"/>
    <s v="855179965"/>
    <s v="Castro Manuel Mendes"/>
    <n v="860795776"/>
    <s v="Sofala"/>
    <s v="Chemba"/>
    <s v="3 De Fevereiro"/>
    <s v="Kit 1"/>
    <n v="134"/>
    <n v="0"/>
    <n v="-134"/>
  </r>
  <r>
    <x v="42"/>
    <x v="41"/>
    <s v="855179965"/>
    <s v="Castro Manuel Mendes"/>
    <n v="860795776"/>
    <s v="Sofala"/>
    <s v="Chemba"/>
    <s v="3 De Fevereiro"/>
    <s v="Kit 2"/>
    <n v="130"/>
    <n v="0"/>
    <n v="-130"/>
  </r>
  <r>
    <x v="43"/>
    <x v="42"/>
    <s v="857019494"/>
    <s v="Castro Manuel Mendes"/>
    <n v="860795776"/>
    <s v="Sofala"/>
    <s v="Chemba"/>
    <s v="Chemba sede"/>
    <s v="Kit 1"/>
    <n v="75"/>
    <n v="114"/>
    <n v="39"/>
  </r>
  <r>
    <x v="44"/>
    <x v="43"/>
    <s v="849110284"/>
    <s v="Castro Manuel Mendes"/>
    <n v="860795776"/>
    <s v="Sofala"/>
    <s v="Chemba"/>
    <s v="3 De Fevereiro"/>
    <s v="Kit 1"/>
    <n v="64"/>
    <n v="63"/>
    <n v="-1"/>
  </r>
  <r>
    <x v="44"/>
    <x v="43"/>
    <s v="849110284"/>
    <s v="Castro Manuel Mendes"/>
    <n v="860795776"/>
    <s v="Sofala"/>
    <s v="Chemba"/>
    <s v="3 De Fevereiro"/>
    <s v="Kit 2"/>
    <n v="106"/>
    <n v="0"/>
    <n v="-106"/>
  </r>
  <r>
    <x v="45"/>
    <x v="44"/>
    <s v="845611917"/>
    <s v="Castro Manuel Mendes"/>
    <n v="860795776"/>
    <s v="Sofala"/>
    <s v="Chemba"/>
    <s v="Catulene"/>
    <s v="Kit 1"/>
    <n v="811"/>
    <n v="338"/>
    <n v="-473"/>
  </r>
  <r>
    <x v="46"/>
    <x v="45"/>
    <s v="876165451"/>
    <s v="Castro Manuel Mendes"/>
    <n v="860795776"/>
    <s v="Sofala"/>
    <s v="Chemba"/>
    <s v="Chiramba sede"/>
    <s v="Kit 1"/>
    <n v="494"/>
    <n v="339"/>
    <n v="-155"/>
  </r>
  <r>
    <x v="47"/>
    <x v="46"/>
    <s v="849044895"/>
    <s v="Castro Manuel Mendes"/>
    <n v="860795776"/>
    <s v="Sofala"/>
    <s v="Chemba"/>
    <s v="Mulima sede"/>
    <s v="Kit 1"/>
    <n v="2285"/>
    <n v="339"/>
    <n v="-1946"/>
  </r>
  <r>
    <x v="48"/>
    <x v="47"/>
    <s v="847710566"/>
    <s v="Castro Manuel Mendes"/>
    <n v="860795776"/>
    <s v="Sofala"/>
    <s v="Chemba"/>
    <s v="3 De Fevereiro"/>
    <s v="Kit 1"/>
    <n v="174"/>
    <n v="276"/>
    <n v="102"/>
  </r>
  <r>
    <x v="48"/>
    <x v="47"/>
    <s v="847710566"/>
    <s v="Castro Manuel Mendes"/>
    <n v="860795776"/>
    <s v="Sofala"/>
    <s v="Chemba"/>
    <s v="3 De Fevereiro"/>
    <s v="Kit 2"/>
    <n v="105"/>
    <n v="0"/>
    <n v="-105"/>
  </r>
  <r>
    <x v="49"/>
    <x v="48"/>
    <s v="840534310"/>
    <s v="Castro Manuel Mendes"/>
    <n v="860795776"/>
    <s v="Sofala"/>
    <s v="Chemba"/>
    <s v="Chemba sede"/>
    <s v="Kit 1"/>
    <n v="99"/>
    <n v="0"/>
    <n v="-99"/>
  </r>
  <r>
    <x v="49"/>
    <x v="48"/>
    <s v="840534310"/>
    <s v="Castro Manuel Mendes"/>
    <n v="860795776"/>
    <s v="Sofala"/>
    <s v="Chemba"/>
    <s v="Chemba sede"/>
    <s v="Kit 2"/>
    <n v="119"/>
    <n v="0"/>
    <n v="-119"/>
  </r>
  <r>
    <x v="50"/>
    <x v="49"/>
    <s v="844924405"/>
    <s v="Castro Manuel Mendes"/>
    <n v="860795776"/>
    <s v="Sofala"/>
    <s v="Chemba"/>
    <s v="3 De Fevereiro"/>
    <s v="Kit 1"/>
    <n v="154"/>
    <n v="0"/>
    <n v="-154"/>
  </r>
  <r>
    <x v="51"/>
    <x v="50"/>
    <s v="842537564"/>
    <s v="Castro Manuel Mendes"/>
    <n v="860795776"/>
    <s v="Sofala"/>
    <s v="Chemba"/>
    <s v="Chemba sede"/>
    <s v="Kit 1"/>
    <n v="109"/>
    <n v="0"/>
    <n v="-109"/>
  </r>
  <r>
    <x v="51"/>
    <x v="50"/>
    <s v="842537564"/>
    <s v="Castro Manuel Mendes"/>
    <n v="860795776"/>
    <s v="Sofala"/>
    <s v="Chemba"/>
    <s v="Chemba sede"/>
    <s v="Kit 2"/>
    <n v="61"/>
    <n v="0"/>
    <n v="-61"/>
  </r>
  <r>
    <x v="52"/>
    <x v="51"/>
    <s v="842558842"/>
    <s v="Castro Manuel Mendes"/>
    <n v="860795776"/>
    <s v="Sofala"/>
    <s v="Chemba"/>
    <s v="3 De Fevereiro"/>
    <s v="Kit 1"/>
    <n v="3"/>
    <n v="0"/>
    <n v="-3"/>
  </r>
  <r>
    <x v="52"/>
    <x v="51"/>
    <s v="842558842"/>
    <s v="Castro Manuel Mendes"/>
    <n v="860795776"/>
    <s v="Sofala"/>
    <s v="Chemba"/>
    <s v="3 De Fevereiro"/>
    <s v="Kit 2"/>
    <n v="28"/>
    <n v="0"/>
    <n v="-28"/>
  </r>
  <r>
    <x v="53"/>
    <x v="52"/>
    <s v="879091865"/>
    <s v="Castro Manuel Mendes"/>
    <n v="860795776"/>
    <s v="Sofala"/>
    <s v="Chemba"/>
    <s v="Goe"/>
    <s v="Kit 1"/>
    <n v="482"/>
    <n v="339"/>
    <n v="-143"/>
  </r>
  <r>
    <x v="54"/>
    <x v="53"/>
    <s v="846042503"/>
    <s v="Castro Manuel Mendes"/>
    <n v="860795776"/>
    <s v="Sofala"/>
    <s v="Chemba"/>
    <s v="Chemba sede"/>
    <s v="Kit 1"/>
    <n v="285"/>
    <n v="72"/>
    <n v="-213"/>
  </r>
  <r>
    <x v="54"/>
    <x v="53"/>
    <s v="846042503"/>
    <s v="Castro Manuel Mendes"/>
    <n v="860795776"/>
    <s v="Sofala"/>
    <s v="Chemba"/>
    <s v="Chemba sede"/>
    <s v="Kit 2"/>
    <n v="62"/>
    <n v="0"/>
    <n v="-62"/>
  </r>
  <r>
    <x v="55"/>
    <x v="54"/>
    <s v="877518163"/>
    <s v="Chipo Jossefa Bassopo"/>
    <n v="847671309"/>
    <s v="Sofala"/>
    <s v="Chibabava"/>
    <s v="Buunhi"/>
    <s v="Kit 1"/>
    <n v="55"/>
    <n v="58"/>
    <n v="3"/>
  </r>
  <r>
    <x v="56"/>
    <x v="55"/>
    <s v="862098378"/>
    <s v="Chipo Jossefa Bassopo"/>
    <n v="847671309"/>
    <s v="Sofala"/>
    <s v="Chibabava"/>
    <s v="Hamamba"/>
    <s v="Kit 1"/>
    <n v="87"/>
    <n v="87"/>
    <n v="0"/>
  </r>
  <r>
    <x v="57"/>
    <x v="56"/>
    <s v="876737953"/>
    <s v="Chipo Jossefa Bassopo"/>
    <n v="847671309"/>
    <s v="Sofala"/>
    <s v="Chibabava"/>
    <s v="Mutindiri"/>
    <s v="Kit 1"/>
    <n v="52"/>
    <n v="304"/>
    <n v="252"/>
  </r>
  <r>
    <x v="58"/>
    <x v="57"/>
    <s v="872013074"/>
    <s v="Chipo Jossefa Bassopo"/>
    <n v="847671309"/>
    <s v="Sofala"/>
    <s v="Chibabava"/>
    <s v="Toronga"/>
    <s v="Kit 1"/>
    <n v="186"/>
    <n v="202"/>
    <n v="16"/>
  </r>
  <r>
    <x v="59"/>
    <x v="58"/>
    <s v="869017794"/>
    <s v="Chipo Jossefa Bassopo"/>
    <n v="847671309"/>
    <s v="Sofala"/>
    <s v="Chibabava"/>
    <s v="Dongonda"/>
    <s v="Kit 1"/>
    <n v="10"/>
    <n v="8"/>
    <n v="-2"/>
  </r>
  <r>
    <x v="60"/>
    <x v="59"/>
    <s v="846114397"/>
    <s v="Shirazi Faruk Jussub"/>
    <n v="848061542"/>
    <s v="Sofala"/>
    <s v="Dondo"/>
    <s v="Mutua"/>
    <s v="Kit 1"/>
    <n v="1161"/>
    <n v="0"/>
    <n v="-1161"/>
  </r>
  <r>
    <x v="60"/>
    <x v="59"/>
    <s v="846114397"/>
    <s v="Shirazi Faruk Jussub"/>
    <n v="848061542"/>
    <s v="Sofala"/>
    <s v="Dondo"/>
    <s v="Mutua"/>
    <s v="Kit 2"/>
    <n v="0"/>
    <n v="386"/>
    <n v="386"/>
  </r>
  <r>
    <x v="61"/>
    <x v="60"/>
    <s v="876428368"/>
    <s v="Deolinda Alberto"/>
    <n v="870620755"/>
    <s v="Sofala"/>
    <s v="Gorongosa"/>
    <s v="Canda"/>
    <s v="Kit 1"/>
    <n v="18"/>
    <n v="18"/>
    <n v="0"/>
  </r>
  <r>
    <x v="62"/>
    <x v="61"/>
    <s v="874899072"/>
    <s v="Diolinda Alberto"/>
    <n v="870620755"/>
    <s v="Sofala"/>
    <s v="Gorongosa"/>
    <s v="Púnguè"/>
    <s v="Kit 1"/>
    <n v="390"/>
    <n v="380"/>
    <n v="-10"/>
  </r>
  <r>
    <x v="63"/>
    <x v="62"/>
    <s v="867547622"/>
    <s v="Diolinda Alberto"/>
    <n v="870620755"/>
    <s v="Sofala"/>
    <s v="Gorongosa"/>
    <s v="Cavalo"/>
    <s v="Kit 1"/>
    <n v="187"/>
    <n v="120"/>
    <n v="-67"/>
  </r>
  <r>
    <x v="64"/>
    <x v="63"/>
    <s v="865678015"/>
    <s v="Diolinda Alberto"/>
    <n v="870620755"/>
    <s v="Sofala"/>
    <s v="Gorongosa"/>
    <s v="Tambarara"/>
    <s v="Kit 1"/>
    <n v="153"/>
    <n v="140"/>
    <n v="-13"/>
  </r>
  <r>
    <x v="65"/>
    <x v="64"/>
    <s v="873895339"/>
    <s v="Diolinda Alberto"/>
    <n v="870620755"/>
    <s v="Sofala"/>
    <s v="Gorongosa"/>
    <s v="Muziwangunguni"/>
    <s v="Kit 1"/>
    <n v="262"/>
    <n v="290"/>
    <n v="28"/>
  </r>
  <r>
    <x v="66"/>
    <x v="65"/>
    <s v="867197531"/>
    <s v="Samuel R. M. Matate"/>
    <n v="844823720"/>
    <s v="Sofala"/>
    <s v="Machanga"/>
    <s v="Javane"/>
    <s v="Kit 1"/>
    <n v="767"/>
    <n v="670"/>
    <n v="-97"/>
  </r>
  <r>
    <x v="67"/>
    <x v="66"/>
    <s v="871139995"/>
    <s v="Samuel R. M. Matate"/>
    <n v="844823720"/>
    <s v="Sofala"/>
    <s v="Machanga"/>
    <s v="Machanga Sede"/>
    <s v="Kit 1"/>
    <n v="1965"/>
    <n v="700"/>
    <n v="-1265"/>
  </r>
  <r>
    <x v="68"/>
    <x v="67"/>
    <s v="878702427"/>
    <s v="Samuel R. M. Matate"/>
    <n v="844823720"/>
    <s v="Sofala"/>
    <s v="Machanga"/>
    <s v="Galinha"/>
    <s v="Kit 1"/>
    <n v="640"/>
    <n v="0"/>
    <n v="-640"/>
  </r>
  <r>
    <x v="69"/>
    <x v="68"/>
    <s v="861713909"/>
    <s v="Samuel R. M. Matate"/>
    <n v="844823720"/>
    <s v="Sofala"/>
    <s v="Machanga"/>
    <s v="Machanga Sede"/>
    <s v="Kit 1"/>
    <n v="860"/>
    <n v="236"/>
    <n v="-624"/>
  </r>
  <r>
    <x v="70"/>
    <x v="69"/>
    <s v="848687168"/>
    <s v="Samuel R. M. Matate"/>
    <n v="844823720"/>
    <s v="Sofala"/>
    <s v="Machanga"/>
    <s v="Zimuala"/>
    <s v="Kit 1"/>
    <n v="595"/>
    <n v="443"/>
    <n v="-152"/>
  </r>
  <r>
    <x v="70"/>
    <x v="69"/>
    <s v="848687168"/>
    <s v="Samuel R. M. Matate"/>
    <n v="844823720"/>
    <s v="Sofala"/>
    <s v="Machanga"/>
    <s v="Zimuala"/>
    <s v="Kit 2"/>
    <n v="0"/>
    <n v="91"/>
    <n v="91"/>
  </r>
  <r>
    <x v="71"/>
    <x v="70"/>
    <s v="842421251"/>
    <s v="Samuel R. M. Matate"/>
    <n v="844823720"/>
    <s v="Sofala"/>
    <s v="Machanga"/>
    <s v="Divinhe Sede"/>
    <s v="Kit 1"/>
    <n v="870"/>
    <n v="0"/>
    <n v="-870"/>
  </r>
  <r>
    <x v="71"/>
    <x v="70"/>
    <s v="842421251"/>
    <s v="Samuel R. M. Matate"/>
    <n v="844823720"/>
    <s v="Sofala"/>
    <s v="Machanga"/>
    <s v="Divinhe Sede"/>
    <s v="Kit 1"/>
    <n v="0"/>
    <n v="709"/>
    <n v="709"/>
  </r>
  <r>
    <x v="72"/>
    <x v="71"/>
    <s v="876213867"/>
    <s v="Sérgio Manuel"/>
    <n v="867055626"/>
    <s v="Sofala"/>
    <s v="Marromeu"/>
    <s v="Malingapansi"/>
    <s v="Kit 1"/>
    <n v="493"/>
    <n v="153"/>
    <n v="-340"/>
  </r>
  <r>
    <x v="72"/>
    <x v="71"/>
    <s v="876213867"/>
    <s v="Sérgio Manuel"/>
    <n v="867055626"/>
    <s v="Sofala"/>
    <s v="Marromeu"/>
    <s v="Malingapansi"/>
    <s v="Kit 2"/>
    <n v="0"/>
    <n v="352"/>
    <n v="352"/>
  </r>
  <r>
    <x v="73"/>
    <x v="72"/>
    <s v="871095442"/>
    <s v="Baptista Tome Armando"/>
    <n v="877748861"/>
    <s v="Sofala"/>
    <s v="Muanza"/>
    <m/>
    <s v="Kit 1"/>
    <n v="16"/>
    <n v="0"/>
    <n v="-16"/>
  </r>
  <r>
    <x v="74"/>
    <x v="73"/>
    <s v="878495852"/>
    <s v="Baptista Tome Armando"/>
    <n v="877748861"/>
    <s v="Sofala"/>
    <s v="Muanza"/>
    <s v="Muanza Sede"/>
    <s v="Kit 1"/>
    <n v="316"/>
    <n v="0"/>
    <n v="-316"/>
  </r>
  <r>
    <x v="75"/>
    <x v="74"/>
    <s v="872846290"/>
    <s v="Baptista Tome Armando"/>
    <n v="877748861"/>
    <s v="Sofala"/>
    <s v="Muanza"/>
    <s v="Honve"/>
    <s v="Kit 1"/>
    <n v="315"/>
    <n v="79"/>
    <n v="-236"/>
  </r>
  <r>
    <x v="76"/>
    <x v="75"/>
    <s v="868408364"/>
    <s v="Baptista Tome Armando"/>
    <n v="877748861"/>
    <s v="Sofala"/>
    <s v="Muanza"/>
    <s v="Chenapamimba"/>
    <s v="Kit 1"/>
    <n v="312"/>
    <n v="219"/>
    <n v="-93"/>
  </r>
  <r>
    <x v="77"/>
    <x v="76"/>
    <s v="875754530"/>
    <s v="Baptista Tome Armando"/>
    <n v="877748861"/>
    <s v="Sofala"/>
    <s v="Muanza"/>
    <s v="Nhamassindzira"/>
    <s v="Kit 1"/>
    <n v="277"/>
    <n v="181"/>
    <n v="-96"/>
  </r>
  <r>
    <x v="78"/>
    <x v="77"/>
    <s v="876090845"/>
    <s v="Baptista Tome Armando"/>
    <n v="877748861"/>
    <s v="Sofala"/>
    <s v="Muanza"/>
    <s v="Wiriquize"/>
    <s v="Kit 1"/>
    <n v="283"/>
    <n v="0"/>
    <n v="-283"/>
  </r>
  <r>
    <x v="78"/>
    <x v="77"/>
    <s v="876090845"/>
    <s v="Baptista Tome Armando"/>
    <n v="877748861"/>
    <s v="Sofala"/>
    <s v="Muanza"/>
    <s v="Wiriquize"/>
    <s v="Kit 2"/>
    <n v="0"/>
    <n v="199"/>
    <n v="199"/>
  </r>
  <r>
    <x v="79"/>
    <x v="78"/>
    <s v="872000674"/>
    <s v="Baptista Tome Armando"/>
    <n v="877748861"/>
    <s v="Sofala"/>
    <s v="Muanza"/>
    <m/>
    <s v="Kit 1"/>
    <n v="44"/>
    <n v="0"/>
    <n v="-44"/>
  </r>
  <r>
    <x v="74"/>
    <x v="73"/>
    <n v="878495852"/>
    <s v="Baptista Tome Armando"/>
    <n v="877748861"/>
    <s v="Sofala"/>
    <s v="Muanza"/>
    <s v="Muanza Sede"/>
    <s v="Kit 2"/>
    <n v="0"/>
    <n v="159"/>
    <n v="159"/>
  </r>
  <r>
    <x v="75"/>
    <x v="74"/>
    <n v="872846290"/>
    <s v="Baptista Tome Armando"/>
    <n v="877748861"/>
    <s v="Sofala"/>
    <s v="Muanza"/>
    <s v="Honve"/>
    <s v="Kit 2"/>
    <n v="0"/>
    <n v="142"/>
    <n v="142"/>
  </r>
  <r>
    <x v="80"/>
    <x v="79"/>
    <s v="842674056"/>
    <s v="Anastacio Mauro Vasconcelos"/>
    <n v="840522555"/>
    <s v="Sofala"/>
    <s v="Nhamatanda"/>
    <s v="Metuchira"/>
    <s v="Kit 1"/>
    <n v="885"/>
    <n v="395"/>
    <n v="-490"/>
  </r>
  <r>
    <x v="81"/>
    <x v="80"/>
    <s v="844002517"/>
    <s v="Anastacio Mauro Vasconcelos"/>
    <n v="840522555"/>
    <s v="Sofala"/>
    <s v="Nhamatanda"/>
    <s v="Lamego"/>
    <s v="Kit 1"/>
    <n v="1131"/>
    <n v="94"/>
    <n v="-1037"/>
  </r>
  <r>
    <x v="81"/>
    <x v="80"/>
    <s v="844002517"/>
    <s v="Anastacio Mauro Vasconcelos"/>
    <n v="840522555"/>
    <s v="Sofala"/>
    <s v="Nhamatanda"/>
    <s v="Lamego"/>
    <s v="Kit 2"/>
    <n v="1"/>
    <n v="301"/>
    <n v="300"/>
  </r>
  <r>
    <x v="82"/>
    <x v="81"/>
    <s v="847370058"/>
    <s v="Anastacio Mauro Vasconcelos"/>
    <n v="840522555"/>
    <s v="Sofala"/>
    <s v="Nhamatanda"/>
    <s v="Bebedo"/>
    <s v="Kit 1"/>
    <n v="706"/>
    <n v="395"/>
    <n v="-311"/>
  </r>
  <r>
    <x v="82"/>
    <x v="81"/>
    <s v="847370058"/>
    <s v="Anastacio Mauro Vasconcelos"/>
    <n v="840522555"/>
    <s v="Sofala"/>
    <s v="Nhamatanda"/>
    <s v="Bebedo"/>
    <s v="Kit 2"/>
    <n v="22"/>
    <n v="0"/>
    <n v="-22"/>
  </r>
  <r>
    <x v="83"/>
    <x v="82"/>
    <s v="846505871"/>
    <s v="Anastacio Mauro Vasconcelos"/>
    <n v="840522555"/>
    <s v="Sofala"/>
    <s v="Nhamatanda"/>
    <s v="Chirassicua"/>
    <s v="Kit 1"/>
    <n v="601"/>
    <n v="395"/>
    <n v="-206"/>
  </r>
  <r>
    <x v="84"/>
    <x v="83"/>
    <s v="870442101"/>
    <s v="Anastacio Mauro Vasconcelos"/>
    <n v="840522555"/>
    <s v="Sofala"/>
    <s v="Nhamatanda"/>
    <s v="Matenga"/>
    <s v="Kit 1"/>
    <n v="826"/>
    <n v="395"/>
    <n v="-431"/>
  </r>
  <r>
    <x v="85"/>
    <x v="84"/>
    <s v="864318250"/>
    <s v="Anastacio Mauro Vasconcelos"/>
    <n v="840522555"/>
    <s v="Sofala"/>
    <s v="Nhamatanda"/>
    <m/>
    <s v="Kit 1"/>
    <n v="122"/>
    <n v="0"/>
    <n v="-122"/>
  </r>
  <r>
    <x v="86"/>
    <x v="85"/>
    <s v="861569962"/>
    <s v="Anastacio Mauro Vasconcelos"/>
    <n v="840522555"/>
    <s v="Sofala"/>
    <s v="Nhamatanda"/>
    <s v="Tica Sede"/>
    <s v="Kit 1"/>
    <n v="850"/>
    <n v="0"/>
    <n v="-850"/>
  </r>
  <r>
    <x v="86"/>
    <x v="85"/>
    <s v="861569962"/>
    <s v="Anastacio Mauro Vasconcelos"/>
    <n v="840522555"/>
    <s v="Sofala"/>
    <s v="Nhamatanda"/>
    <s v="Tica Sede"/>
    <s v="Kit 2"/>
    <n v="0"/>
    <n v="399"/>
    <n v="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A772C-458E-E248-8C91-850BA765AD22}" name="PivotTable1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1" firstHeaderRow="1" firstDataRow="1" firstDataCol="2"/>
  <pivotFields count="12">
    <pivotField axis="axisRow" compact="0" outline="0" showAll="0" defaultSubtota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78"/>
        <item x="80"/>
        <item x="81"/>
        <item x="82"/>
        <item x="83"/>
        <item x="84"/>
        <item x="85"/>
        <item x="86"/>
      </items>
    </pivotField>
    <pivotField axis="axisRow" compact="0" outline="0" showAll="0" defaultSubtotal="0">
      <items count="86">
        <item x="62"/>
        <item x="65"/>
        <item x="9"/>
        <item x="79"/>
        <item x="0"/>
        <item x="80"/>
        <item x="10"/>
        <item x="72"/>
        <item x="54"/>
        <item x="11"/>
        <item x="1"/>
        <item x="23"/>
        <item x="24"/>
        <item x="81"/>
        <item x="73"/>
        <item x="2"/>
        <item x="82"/>
        <item x="12"/>
        <item x="74"/>
        <item x="25"/>
        <item x="40"/>
        <item x="71"/>
        <item x="63"/>
        <item x="26"/>
        <item x="66"/>
        <item x="41"/>
        <item x="75"/>
        <item x="27"/>
        <item x="28"/>
        <item x="42"/>
        <item x="3"/>
        <item x="29"/>
        <item x="43"/>
        <item x="44"/>
        <item x="4"/>
        <item x="13"/>
        <item x="30"/>
        <item x="83"/>
        <item x="61"/>
        <item x="84"/>
        <item x="67"/>
        <item x="14"/>
        <item x="15"/>
        <item x="16"/>
        <item x="31"/>
        <item x="17"/>
        <item x="68"/>
        <item x="76"/>
        <item x="32"/>
        <item x="55"/>
        <item x="45"/>
        <item x="64"/>
        <item x="46"/>
        <item x="47"/>
        <item x="33"/>
        <item x="69"/>
        <item x="5"/>
        <item x="18"/>
        <item x="78"/>
        <item x="34"/>
        <item x="19"/>
        <item x="35"/>
        <item x="59"/>
        <item x="48"/>
        <item x="20"/>
        <item x="36"/>
        <item x="49"/>
        <item x="21"/>
        <item x="6"/>
        <item x="7"/>
        <item x="37"/>
        <item x="38"/>
        <item x="56"/>
        <item x="39"/>
        <item x="50"/>
        <item x="70"/>
        <item x="85"/>
        <item x="57"/>
        <item x="51"/>
        <item x="22"/>
        <item x="52"/>
        <item x="53"/>
        <item x="58"/>
        <item x="8"/>
        <item x="77"/>
        <item x="6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0"/>
  </rowFields>
  <rowItems count="88">
    <i>
      <x/>
      <x v="63"/>
    </i>
    <i>
      <x v="1"/>
      <x v="66"/>
    </i>
    <i>
      <x v="2"/>
      <x v="9"/>
    </i>
    <i r="1">
      <x v="23"/>
    </i>
    <i>
      <x v="3"/>
      <x v="80"/>
    </i>
    <i>
      <x v="4"/>
      <x/>
    </i>
    <i>
      <x v="5"/>
      <x v="81"/>
    </i>
    <i>
      <x v="6"/>
      <x v="10"/>
    </i>
    <i>
      <x v="7"/>
      <x v="73"/>
    </i>
    <i>
      <x v="8"/>
      <x v="55"/>
    </i>
    <i>
      <x v="9"/>
      <x v="11"/>
    </i>
    <i>
      <x v="10"/>
      <x v="1"/>
    </i>
    <i>
      <x v="11"/>
      <x v="24"/>
    </i>
    <i>
      <x v="12"/>
      <x v="25"/>
    </i>
    <i>
      <x v="13"/>
      <x v="82"/>
    </i>
    <i>
      <x v="14"/>
      <x v="74"/>
    </i>
    <i>
      <x v="15"/>
      <x v="2"/>
    </i>
    <i>
      <x v="16"/>
      <x v="83"/>
    </i>
    <i>
      <x v="17"/>
      <x v="12"/>
    </i>
    <i>
      <x v="18"/>
      <x v="75"/>
    </i>
    <i>
      <x v="19"/>
      <x v="26"/>
    </i>
    <i>
      <x v="20"/>
      <x v="41"/>
    </i>
    <i>
      <x v="21"/>
      <x v="72"/>
    </i>
    <i>
      <x v="22"/>
      <x v="64"/>
    </i>
    <i>
      <x v="23"/>
      <x v="27"/>
    </i>
    <i>
      <x v="24"/>
      <x v="67"/>
    </i>
    <i>
      <x v="25"/>
      <x v="42"/>
    </i>
    <i>
      <x v="26"/>
      <x v="76"/>
    </i>
    <i>
      <x v="27"/>
      <x v="28"/>
    </i>
    <i>
      <x v="28"/>
      <x v="29"/>
    </i>
    <i>
      <x v="29"/>
      <x v="43"/>
    </i>
    <i>
      <x v="30"/>
      <x v="3"/>
    </i>
    <i>
      <x v="31"/>
      <x v="30"/>
    </i>
    <i>
      <x v="32"/>
      <x v="44"/>
    </i>
    <i>
      <x v="33"/>
      <x v="45"/>
    </i>
    <i>
      <x v="34"/>
      <x v="4"/>
    </i>
    <i>
      <x v="35"/>
      <x v="13"/>
    </i>
    <i>
      <x v="36"/>
      <x v="31"/>
    </i>
    <i>
      <x v="37"/>
      <x v="84"/>
    </i>
    <i>
      <x v="38"/>
      <x v="62"/>
    </i>
    <i>
      <x v="39"/>
      <x v="85"/>
    </i>
    <i>
      <x v="40"/>
      <x v="68"/>
    </i>
    <i>
      <x v="41"/>
      <x v="14"/>
    </i>
    <i>
      <x v="42"/>
      <x v="15"/>
    </i>
    <i>
      <x v="43"/>
      <x v="16"/>
    </i>
    <i>
      <x v="44"/>
      <x v="32"/>
    </i>
    <i>
      <x v="45"/>
      <x v="17"/>
    </i>
    <i>
      <x v="46"/>
      <x v="69"/>
    </i>
    <i>
      <x v="47"/>
      <x v="77"/>
    </i>
    <i>
      <x v="48"/>
      <x v="33"/>
    </i>
    <i>
      <x v="49"/>
      <x v="56"/>
    </i>
    <i>
      <x v="50"/>
      <x v="46"/>
    </i>
    <i>
      <x v="51"/>
      <x v="65"/>
    </i>
    <i>
      <x v="52"/>
      <x v="47"/>
    </i>
    <i>
      <x v="53"/>
      <x v="48"/>
    </i>
    <i>
      <x v="54"/>
      <x v="34"/>
    </i>
    <i>
      <x v="55"/>
      <x v="70"/>
    </i>
    <i>
      <x v="56"/>
      <x v="5"/>
    </i>
    <i>
      <x v="57"/>
      <x v="18"/>
    </i>
    <i>
      <x v="58"/>
      <x v="78"/>
    </i>
    <i>
      <x v="59"/>
      <x v="35"/>
    </i>
    <i>
      <x v="60"/>
      <x v="19"/>
    </i>
    <i>
      <x v="61"/>
      <x v="36"/>
    </i>
    <i>
      <x v="62"/>
      <x v="60"/>
    </i>
    <i>
      <x v="63"/>
      <x v="49"/>
    </i>
    <i>
      <x v="64"/>
      <x v="20"/>
    </i>
    <i>
      <x v="65"/>
      <x v="37"/>
    </i>
    <i>
      <x v="66"/>
      <x v="50"/>
    </i>
    <i>
      <x v="67"/>
      <x v="21"/>
    </i>
    <i>
      <x v="68"/>
      <x v="6"/>
    </i>
    <i>
      <x v="69"/>
      <x v="7"/>
    </i>
    <i>
      <x v="70"/>
      <x v="38"/>
    </i>
    <i>
      <x v="71"/>
      <x v="39"/>
    </i>
    <i>
      <x v="72"/>
      <x v="57"/>
    </i>
    <i>
      <x v="73"/>
      <x v="40"/>
    </i>
    <i>
      <x v="74"/>
      <x v="51"/>
    </i>
    <i>
      <x v="75"/>
      <x v="71"/>
    </i>
    <i>
      <x v="76"/>
      <x v="86"/>
    </i>
    <i>
      <x v="77"/>
      <x v="58"/>
    </i>
    <i>
      <x v="78"/>
      <x v="52"/>
    </i>
    <i>
      <x v="79"/>
      <x v="22"/>
    </i>
    <i>
      <x v="80"/>
      <x v="53"/>
    </i>
    <i>
      <x v="81"/>
      <x v="54"/>
    </i>
    <i>
      <x v="82"/>
      <x v="59"/>
    </i>
    <i>
      <x v="83"/>
      <x v="8"/>
    </i>
    <i>
      <x v="84"/>
      <x v="79"/>
    </i>
    <i>
      <x v="85"/>
      <x v="61"/>
    </i>
    <i t="grand">
      <x/>
    </i>
  </rowItems>
  <colItems count="1">
    <i/>
  </colItems>
  <formats count="2">
    <format dxfId="1">
      <pivotArea dataOnly="0" labelOnly="1" outline="0" fieldPosition="0">
        <references count="1">
          <reference field="1" count="1">
            <x v="2"/>
          </reference>
        </references>
      </pivotArea>
    </format>
    <format dxfId="0">
      <pivotArea dataOnly="0" labelOnly="1" outline="0" fieldPosition="0">
        <references count="2">
          <reference field="0" count="2">
            <x v="9"/>
            <x v="23"/>
          </reference>
          <reference field="1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96A9-1EF5-6445-B3A0-2FE15CCC98BA}">
  <dimension ref="A3:B91"/>
  <sheetViews>
    <sheetView tabSelected="1" workbookViewId="0">
      <selection activeCell="A3" sqref="A3:B7"/>
    </sheetView>
  </sheetViews>
  <sheetFormatPr baseColWidth="10" defaultRowHeight="13"/>
  <cols>
    <col min="1" max="1" width="29.1640625" bestFit="1" customWidth="1"/>
    <col min="2" max="2" width="16.5" bestFit="1" customWidth="1"/>
  </cols>
  <sheetData>
    <row r="3" spans="1:2">
      <c r="A3" s="9" t="s">
        <v>1</v>
      </c>
      <c r="B3" s="9" t="s">
        <v>0</v>
      </c>
    </row>
    <row r="4" spans="1:2">
      <c r="A4" t="s">
        <v>253</v>
      </c>
      <c r="B4" t="s">
        <v>252</v>
      </c>
    </row>
    <row r="5" spans="1:2">
      <c r="A5" t="s">
        <v>265</v>
      </c>
      <c r="B5" t="s">
        <v>264</v>
      </c>
    </row>
    <row r="6" spans="1:2">
      <c r="A6" s="10" t="s">
        <v>52</v>
      </c>
      <c r="B6" s="10" t="s">
        <v>51</v>
      </c>
    </row>
    <row r="7" spans="1:2">
      <c r="A7" s="10"/>
      <c r="B7" s="10" t="s">
        <v>105</v>
      </c>
    </row>
    <row r="8" spans="1:2">
      <c r="A8" t="s">
        <v>324</v>
      </c>
      <c r="B8" t="s">
        <v>323</v>
      </c>
    </row>
    <row r="9" spans="1:2">
      <c r="A9" t="s">
        <v>13</v>
      </c>
      <c r="B9" t="s">
        <v>12</v>
      </c>
    </row>
    <row r="10" spans="1:2">
      <c r="A10" t="s">
        <v>330</v>
      </c>
      <c r="B10" t="s">
        <v>329</v>
      </c>
    </row>
    <row r="11" spans="1:2">
      <c r="A11" t="s">
        <v>58</v>
      </c>
      <c r="B11" t="s">
        <v>57</v>
      </c>
    </row>
    <row r="12" spans="1:2">
      <c r="A12" t="s">
        <v>296</v>
      </c>
      <c r="B12" t="s">
        <v>295</v>
      </c>
    </row>
    <row r="13" spans="1:2">
      <c r="A13" t="s">
        <v>214</v>
      </c>
      <c r="B13" t="s">
        <v>213</v>
      </c>
    </row>
    <row r="14" spans="1:2">
      <c r="A14" t="s">
        <v>63</v>
      </c>
      <c r="B14" t="s">
        <v>62</v>
      </c>
    </row>
    <row r="15" spans="1:2">
      <c r="A15" t="s">
        <v>21</v>
      </c>
      <c r="B15" t="s">
        <v>20</v>
      </c>
    </row>
    <row r="16" spans="1:2">
      <c r="A16" t="s">
        <v>107</v>
      </c>
      <c r="B16" t="s">
        <v>106</v>
      </c>
    </row>
    <row r="17" spans="1:2">
      <c r="A17" t="s">
        <v>113</v>
      </c>
      <c r="B17" t="s">
        <v>112</v>
      </c>
    </row>
    <row r="18" spans="1:2">
      <c r="A18" t="s">
        <v>334</v>
      </c>
      <c r="B18" t="s">
        <v>333</v>
      </c>
    </row>
    <row r="19" spans="1:2">
      <c r="A19" t="s">
        <v>301</v>
      </c>
      <c r="B19" t="s">
        <v>300</v>
      </c>
    </row>
    <row r="20" spans="1:2">
      <c r="A20" t="s">
        <v>25</v>
      </c>
      <c r="B20" t="s">
        <v>24</v>
      </c>
    </row>
    <row r="21" spans="1:2">
      <c r="A21" t="s">
        <v>338</v>
      </c>
      <c r="B21" t="s">
        <v>337</v>
      </c>
    </row>
    <row r="22" spans="1:2">
      <c r="A22" t="s">
        <v>67</v>
      </c>
      <c r="B22" t="s">
        <v>66</v>
      </c>
    </row>
    <row r="23" spans="1:2">
      <c r="A23" t="s">
        <v>305</v>
      </c>
      <c r="B23" t="s">
        <v>304</v>
      </c>
    </row>
    <row r="24" spans="1:2">
      <c r="A24" t="s">
        <v>117</v>
      </c>
      <c r="B24" t="s">
        <v>116</v>
      </c>
    </row>
    <row r="25" spans="1:2">
      <c r="A25" t="s">
        <v>164</v>
      </c>
      <c r="B25" t="s">
        <v>163</v>
      </c>
    </row>
    <row r="26" spans="1:2">
      <c r="A26" t="s">
        <v>290</v>
      </c>
      <c r="B26" t="s">
        <v>289</v>
      </c>
    </row>
    <row r="27" spans="1:2">
      <c r="A27" t="s">
        <v>257</v>
      </c>
      <c r="B27" t="s">
        <v>256</v>
      </c>
    </row>
    <row r="28" spans="1:2">
      <c r="A28" t="s">
        <v>121</v>
      </c>
      <c r="B28" t="s">
        <v>120</v>
      </c>
    </row>
    <row r="29" spans="1:2">
      <c r="A29" t="s">
        <v>271</v>
      </c>
      <c r="B29" t="s">
        <v>270</v>
      </c>
    </row>
    <row r="30" spans="1:2">
      <c r="A30" t="s">
        <v>170</v>
      </c>
      <c r="B30" t="s">
        <v>169</v>
      </c>
    </row>
    <row r="31" spans="1:2">
      <c r="A31" t="s">
        <v>309</v>
      </c>
      <c r="B31" t="s">
        <v>308</v>
      </c>
    </row>
    <row r="32" spans="1:2">
      <c r="A32" t="s">
        <v>124</v>
      </c>
      <c r="B32" t="s">
        <v>123</v>
      </c>
    </row>
    <row r="33" spans="1:2">
      <c r="A33" t="s">
        <v>127</v>
      </c>
      <c r="B33" t="s">
        <v>126</v>
      </c>
    </row>
    <row r="34" spans="1:2">
      <c r="A34" t="s">
        <v>174</v>
      </c>
      <c r="B34" t="s">
        <v>173</v>
      </c>
    </row>
    <row r="35" spans="1:2">
      <c r="A35" t="s">
        <v>29</v>
      </c>
      <c r="B35" t="s">
        <v>28</v>
      </c>
    </row>
    <row r="36" spans="1:2">
      <c r="A36" t="s">
        <v>109</v>
      </c>
      <c r="B36" t="s">
        <v>129</v>
      </c>
    </row>
    <row r="37" spans="1:2">
      <c r="A37" t="s">
        <v>177</v>
      </c>
      <c r="B37" t="s">
        <v>176</v>
      </c>
    </row>
    <row r="38" spans="1:2">
      <c r="A38" t="s">
        <v>180</v>
      </c>
      <c r="B38" t="s">
        <v>179</v>
      </c>
    </row>
    <row r="39" spans="1:2">
      <c r="A39" t="s">
        <v>33</v>
      </c>
      <c r="B39" t="s">
        <v>32</v>
      </c>
    </row>
    <row r="40" spans="1:2">
      <c r="A40" t="s">
        <v>70</v>
      </c>
      <c r="B40" t="s">
        <v>69</v>
      </c>
    </row>
    <row r="41" spans="1:2">
      <c r="A41" t="s">
        <v>133</v>
      </c>
      <c r="B41" t="s">
        <v>132</v>
      </c>
    </row>
    <row r="42" spans="1:2">
      <c r="A42" t="s">
        <v>342</v>
      </c>
      <c r="B42" t="s">
        <v>341</v>
      </c>
    </row>
    <row r="43" spans="1:2">
      <c r="A43" t="s">
        <v>248</v>
      </c>
      <c r="B43" t="s">
        <v>247</v>
      </c>
    </row>
    <row r="44" spans="1:2">
      <c r="A44" t="s">
        <v>346</v>
      </c>
      <c r="B44" t="s">
        <v>345</v>
      </c>
    </row>
    <row r="45" spans="1:2">
      <c r="A45" t="s">
        <v>275</v>
      </c>
      <c r="B45" t="s">
        <v>274</v>
      </c>
    </row>
    <row r="46" spans="1:2">
      <c r="A46" t="s">
        <v>74</v>
      </c>
      <c r="B46" t="s">
        <v>73</v>
      </c>
    </row>
    <row r="47" spans="1:2">
      <c r="A47" t="s">
        <v>78</v>
      </c>
      <c r="B47" t="s">
        <v>77</v>
      </c>
    </row>
    <row r="48" spans="1:2">
      <c r="A48" t="s">
        <v>82</v>
      </c>
      <c r="B48" t="s">
        <v>81</v>
      </c>
    </row>
    <row r="49" spans="1:2">
      <c r="A49" t="s">
        <v>136</v>
      </c>
      <c r="B49" t="s">
        <v>135</v>
      </c>
    </row>
    <row r="50" spans="1:2">
      <c r="A50" t="s">
        <v>85</v>
      </c>
      <c r="B50" t="s">
        <v>84</v>
      </c>
    </row>
    <row r="51" spans="1:2">
      <c r="A51" t="s">
        <v>279</v>
      </c>
      <c r="B51" t="s">
        <v>278</v>
      </c>
    </row>
    <row r="52" spans="1:2">
      <c r="A52" t="s">
        <v>313</v>
      </c>
      <c r="B52" t="s">
        <v>312</v>
      </c>
    </row>
    <row r="53" spans="1:2">
      <c r="A53" t="s">
        <v>139</v>
      </c>
      <c r="B53" t="s">
        <v>138</v>
      </c>
    </row>
    <row r="54" spans="1:2">
      <c r="A54" t="s">
        <v>220</v>
      </c>
      <c r="B54" t="s">
        <v>219</v>
      </c>
    </row>
    <row r="55" spans="1:2">
      <c r="A55" t="s">
        <v>184</v>
      </c>
      <c r="B55" t="s">
        <v>183</v>
      </c>
    </row>
    <row r="56" spans="1:2">
      <c r="A56" t="s">
        <v>261</v>
      </c>
      <c r="B56" t="s">
        <v>260</v>
      </c>
    </row>
    <row r="57" spans="1:2">
      <c r="A57" t="s">
        <v>188</v>
      </c>
      <c r="B57" t="s">
        <v>187</v>
      </c>
    </row>
    <row r="58" spans="1:2">
      <c r="A58" t="s">
        <v>192</v>
      </c>
      <c r="B58" t="s">
        <v>191</v>
      </c>
    </row>
    <row r="59" spans="1:2">
      <c r="A59" t="s">
        <v>142</v>
      </c>
      <c r="B59" t="s">
        <v>141</v>
      </c>
    </row>
    <row r="60" spans="1:2">
      <c r="A60" t="s">
        <v>282</v>
      </c>
      <c r="B60" t="s">
        <v>281</v>
      </c>
    </row>
    <row r="61" spans="1:2">
      <c r="A61" t="s">
        <v>37</v>
      </c>
      <c r="B61" t="s">
        <v>36</v>
      </c>
    </row>
    <row r="62" spans="1:2">
      <c r="A62" t="s">
        <v>89</v>
      </c>
      <c r="B62" t="s">
        <v>88</v>
      </c>
    </row>
    <row r="63" spans="1:2">
      <c r="A63" t="s">
        <v>321</v>
      </c>
      <c r="B63" t="s">
        <v>320</v>
      </c>
    </row>
    <row r="64" spans="1:2">
      <c r="A64" t="s">
        <v>145</v>
      </c>
      <c r="B64" t="s">
        <v>144</v>
      </c>
    </row>
    <row r="65" spans="1:2">
      <c r="A65" t="s">
        <v>92</v>
      </c>
      <c r="B65" t="s">
        <v>91</v>
      </c>
    </row>
    <row r="66" spans="1:2">
      <c r="A66" t="s">
        <v>148</v>
      </c>
      <c r="B66" t="s">
        <v>147</v>
      </c>
    </row>
    <row r="67" spans="1:2">
      <c r="A67" t="s">
        <v>236</v>
      </c>
      <c r="B67" t="s">
        <v>235</v>
      </c>
    </row>
    <row r="68" spans="1:2">
      <c r="A68" t="s">
        <v>195</v>
      </c>
      <c r="B68" t="s">
        <v>194</v>
      </c>
    </row>
    <row r="69" spans="1:2">
      <c r="A69" t="s">
        <v>95</v>
      </c>
      <c r="B69" t="s">
        <v>94</v>
      </c>
    </row>
    <row r="70" spans="1:2">
      <c r="A70" t="s">
        <v>151</v>
      </c>
      <c r="B70" t="s">
        <v>150</v>
      </c>
    </row>
    <row r="71" spans="1:2">
      <c r="A71" t="s">
        <v>198</v>
      </c>
      <c r="B71" t="s">
        <v>197</v>
      </c>
    </row>
    <row r="72" spans="1:2">
      <c r="A72" t="s">
        <v>98</v>
      </c>
      <c r="B72" t="s">
        <v>97</v>
      </c>
    </row>
    <row r="73" spans="1:2">
      <c r="A73" t="s">
        <v>41</v>
      </c>
      <c r="B73" t="s">
        <v>40</v>
      </c>
    </row>
    <row r="74" spans="1:2">
      <c r="A74" t="s">
        <v>45</v>
      </c>
      <c r="B74" t="s">
        <v>44</v>
      </c>
    </row>
    <row r="75" spans="1:2">
      <c r="A75" t="s">
        <v>154</v>
      </c>
      <c r="B75" t="s">
        <v>153</v>
      </c>
    </row>
    <row r="76" spans="1:2">
      <c r="A76" t="s">
        <v>158</v>
      </c>
      <c r="B76" t="s">
        <v>157</v>
      </c>
    </row>
    <row r="77" spans="1:2">
      <c r="A77" t="s">
        <v>224</v>
      </c>
      <c r="B77" t="s">
        <v>223</v>
      </c>
    </row>
    <row r="78" spans="1:2">
      <c r="A78" t="s">
        <v>161</v>
      </c>
      <c r="B78" t="s">
        <v>160</v>
      </c>
    </row>
    <row r="79" spans="1:2">
      <c r="A79" t="s">
        <v>201</v>
      </c>
      <c r="B79" t="s">
        <v>200</v>
      </c>
    </row>
    <row r="80" spans="1:2">
      <c r="A80" t="s">
        <v>286</v>
      </c>
      <c r="B80" t="s">
        <v>285</v>
      </c>
    </row>
    <row r="81" spans="1:2">
      <c r="A81" t="s">
        <v>349</v>
      </c>
      <c r="B81" t="s">
        <v>348</v>
      </c>
    </row>
    <row r="82" spans="1:2">
      <c r="A82" t="s">
        <v>228</v>
      </c>
      <c r="B82" t="s">
        <v>227</v>
      </c>
    </row>
    <row r="83" spans="1:2">
      <c r="A83" t="s">
        <v>204</v>
      </c>
      <c r="B83" t="s">
        <v>203</v>
      </c>
    </row>
    <row r="84" spans="1:2">
      <c r="A84" t="s">
        <v>102</v>
      </c>
      <c r="B84" t="s">
        <v>101</v>
      </c>
    </row>
    <row r="85" spans="1:2">
      <c r="A85" t="s">
        <v>207</v>
      </c>
      <c r="B85" t="s">
        <v>206</v>
      </c>
    </row>
    <row r="86" spans="1:2">
      <c r="A86" t="s">
        <v>211</v>
      </c>
      <c r="B86" t="s">
        <v>210</v>
      </c>
    </row>
    <row r="87" spans="1:2">
      <c r="A87" t="s">
        <v>232</v>
      </c>
      <c r="B87" t="s">
        <v>231</v>
      </c>
    </row>
    <row r="88" spans="1:2">
      <c r="A88" t="s">
        <v>48</v>
      </c>
      <c r="B88" t="s">
        <v>47</v>
      </c>
    </row>
    <row r="89" spans="1:2">
      <c r="A89" t="s">
        <v>317</v>
      </c>
      <c r="B89" t="s">
        <v>316</v>
      </c>
    </row>
    <row r="90" spans="1:2">
      <c r="A90" t="s">
        <v>242</v>
      </c>
      <c r="B90" t="s">
        <v>241</v>
      </c>
    </row>
    <row r="91" spans="1:2">
      <c r="A91" t="s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H12" sqref="H12"/>
    </sheetView>
  </sheetViews>
  <sheetFormatPr baseColWidth="10" defaultColWidth="12.6640625" defaultRowHeight="15.75" customHeight="1"/>
  <cols>
    <col min="1" max="1" width="15" customWidth="1"/>
    <col min="2" max="2" width="23.83203125" customWidth="1"/>
    <col min="3" max="3" width="19.6640625" customWidth="1"/>
    <col min="4" max="4" width="32.83203125" customWidth="1"/>
    <col min="5" max="5" width="18.6640625" customWidth="1"/>
    <col min="10" max="10" width="17.5" customWidth="1"/>
    <col min="11" max="11" width="17" customWidth="1"/>
  </cols>
  <sheetData>
    <row r="1" spans="1: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5" t="s">
        <v>12</v>
      </c>
      <c r="B2" s="5" t="s">
        <v>13</v>
      </c>
      <c r="C2" s="6" t="s">
        <v>14</v>
      </c>
      <c r="D2" s="7" t="s">
        <v>15</v>
      </c>
      <c r="E2" s="8">
        <v>843766667</v>
      </c>
      <c r="F2" s="5" t="s">
        <v>16</v>
      </c>
      <c r="G2" s="5" t="s">
        <v>17</v>
      </c>
      <c r="H2" s="5" t="s">
        <v>18</v>
      </c>
      <c r="I2" s="5" t="s">
        <v>19</v>
      </c>
      <c r="J2" s="6">
        <v>4</v>
      </c>
      <c r="K2" s="6">
        <v>4</v>
      </c>
      <c r="L2" s="6">
        <f t="shared" ref="L2:L121" si="0">K2-J2</f>
        <v>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>
      <c r="A3" s="5" t="s">
        <v>20</v>
      </c>
      <c r="B3" s="5" t="s">
        <v>21</v>
      </c>
      <c r="C3" s="6" t="s">
        <v>22</v>
      </c>
      <c r="D3" s="7" t="s">
        <v>15</v>
      </c>
      <c r="E3" s="8">
        <v>843766667</v>
      </c>
      <c r="F3" s="5" t="s">
        <v>16</v>
      </c>
      <c r="G3" s="5" t="s">
        <v>17</v>
      </c>
      <c r="H3" s="5" t="s">
        <v>23</v>
      </c>
      <c r="I3" s="5" t="s">
        <v>19</v>
      </c>
      <c r="J3" s="6">
        <v>18</v>
      </c>
      <c r="K3" s="6">
        <v>18</v>
      </c>
      <c r="L3" s="6">
        <f t="shared" si="0"/>
        <v>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>
      <c r="A4" s="5" t="s">
        <v>24</v>
      </c>
      <c r="B4" s="5" t="s">
        <v>25</v>
      </c>
      <c r="C4" s="6" t="s">
        <v>26</v>
      </c>
      <c r="D4" s="7" t="s">
        <v>15</v>
      </c>
      <c r="E4" s="8">
        <v>843766667</v>
      </c>
      <c r="F4" s="5" t="s">
        <v>16</v>
      </c>
      <c r="G4" s="5" t="s">
        <v>17</v>
      </c>
      <c r="H4" s="5" t="s">
        <v>27</v>
      </c>
      <c r="I4" s="5" t="s">
        <v>19</v>
      </c>
      <c r="J4" s="6">
        <v>18</v>
      </c>
      <c r="K4" s="6">
        <v>19</v>
      </c>
      <c r="L4" s="6">
        <f t="shared" si="0"/>
        <v>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>
      <c r="A5" s="5" t="s">
        <v>28</v>
      </c>
      <c r="B5" s="5" t="s">
        <v>29</v>
      </c>
      <c r="C5" s="6" t="s">
        <v>30</v>
      </c>
      <c r="D5" s="7" t="s">
        <v>15</v>
      </c>
      <c r="E5" s="8">
        <v>843766667</v>
      </c>
      <c r="F5" s="5" t="s">
        <v>16</v>
      </c>
      <c r="G5" s="5" t="s">
        <v>17</v>
      </c>
      <c r="H5" s="5" t="s">
        <v>31</v>
      </c>
      <c r="I5" s="5" t="s">
        <v>19</v>
      </c>
      <c r="J5" s="6">
        <v>91</v>
      </c>
      <c r="K5" s="6">
        <v>53</v>
      </c>
      <c r="L5" s="6">
        <f t="shared" si="0"/>
        <v>-38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>
      <c r="A6" s="5" t="s">
        <v>32</v>
      </c>
      <c r="B6" s="5" t="s">
        <v>33</v>
      </c>
      <c r="C6" s="6" t="s">
        <v>34</v>
      </c>
      <c r="D6" s="7" t="s">
        <v>15</v>
      </c>
      <c r="E6" s="8">
        <v>843766667</v>
      </c>
      <c r="F6" s="5" t="s">
        <v>16</v>
      </c>
      <c r="G6" s="5" t="s">
        <v>17</v>
      </c>
      <c r="H6" s="5" t="s">
        <v>35</v>
      </c>
      <c r="I6" s="5" t="s">
        <v>19</v>
      </c>
      <c r="J6" s="6">
        <v>7</v>
      </c>
      <c r="K6" s="6">
        <v>7</v>
      </c>
      <c r="L6" s="6">
        <f t="shared" si="0"/>
        <v>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>
      <c r="A7" s="5" t="s">
        <v>36</v>
      </c>
      <c r="B7" s="5" t="s">
        <v>37</v>
      </c>
      <c r="C7" s="6" t="s">
        <v>38</v>
      </c>
      <c r="D7" s="7" t="s">
        <v>15</v>
      </c>
      <c r="E7" s="8">
        <v>843766667</v>
      </c>
      <c r="F7" s="5" t="s">
        <v>16</v>
      </c>
      <c r="G7" s="5" t="s">
        <v>17</v>
      </c>
      <c r="H7" s="5" t="s">
        <v>39</v>
      </c>
      <c r="I7" s="5" t="s">
        <v>19</v>
      </c>
      <c r="J7" s="6">
        <v>1</v>
      </c>
      <c r="K7" s="6">
        <v>1</v>
      </c>
      <c r="L7" s="6">
        <f t="shared" si="0"/>
        <v>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>
      <c r="A8" s="5" t="s">
        <v>40</v>
      </c>
      <c r="B8" s="5" t="s">
        <v>41</v>
      </c>
      <c r="C8" s="6" t="s">
        <v>42</v>
      </c>
      <c r="D8" s="7" t="s">
        <v>15</v>
      </c>
      <c r="E8" s="8">
        <v>843766667</v>
      </c>
      <c r="F8" s="5" t="s">
        <v>16</v>
      </c>
      <c r="G8" s="5" t="s">
        <v>17</v>
      </c>
      <c r="H8" s="5" t="s">
        <v>43</v>
      </c>
      <c r="I8" s="5" t="s">
        <v>19</v>
      </c>
      <c r="J8" s="6">
        <v>22</v>
      </c>
      <c r="K8" s="6">
        <v>17</v>
      </c>
      <c r="L8" s="6">
        <f t="shared" si="0"/>
        <v>-5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>
      <c r="A9" s="5" t="s">
        <v>44</v>
      </c>
      <c r="B9" s="5" t="s">
        <v>45</v>
      </c>
      <c r="C9" s="6" t="s">
        <v>42</v>
      </c>
      <c r="D9" s="7" t="s">
        <v>15</v>
      </c>
      <c r="E9" s="8">
        <v>843766667</v>
      </c>
      <c r="F9" s="5" t="s">
        <v>16</v>
      </c>
      <c r="G9" s="5" t="s">
        <v>17</v>
      </c>
      <c r="H9" s="5" t="s">
        <v>46</v>
      </c>
      <c r="I9" s="5" t="s">
        <v>19</v>
      </c>
      <c r="J9" s="6">
        <v>22</v>
      </c>
      <c r="K9" s="6">
        <v>18</v>
      </c>
      <c r="L9" s="6">
        <f t="shared" si="0"/>
        <v>-4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>
      <c r="A10" s="5" t="s">
        <v>47</v>
      </c>
      <c r="B10" s="5" t="s">
        <v>48</v>
      </c>
      <c r="C10" s="6" t="s">
        <v>49</v>
      </c>
      <c r="D10" s="7" t="s">
        <v>15</v>
      </c>
      <c r="E10" s="8">
        <v>843766667</v>
      </c>
      <c r="F10" s="5" t="s">
        <v>16</v>
      </c>
      <c r="G10" s="5" t="s">
        <v>17</v>
      </c>
      <c r="H10" s="5" t="s">
        <v>50</v>
      </c>
      <c r="I10" s="5" t="s">
        <v>19</v>
      </c>
      <c r="J10" s="6">
        <v>13</v>
      </c>
      <c r="K10" s="6">
        <v>13</v>
      </c>
      <c r="L10" s="6">
        <f t="shared" si="0"/>
        <v>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>
      <c r="A11" s="5" t="s">
        <v>51</v>
      </c>
      <c r="B11" s="5" t="s">
        <v>52</v>
      </c>
      <c r="C11" s="6" t="s">
        <v>53</v>
      </c>
      <c r="D11" s="7" t="s">
        <v>54</v>
      </c>
      <c r="E11" s="8">
        <v>879095867</v>
      </c>
      <c r="F11" s="5" t="s">
        <v>16</v>
      </c>
      <c r="G11" s="5" t="s">
        <v>55</v>
      </c>
      <c r="H11" s="5" t="s">
        <v>56</v>
      </c>
      <c r="I11" s="5" t="s">
        <v>19</v>
      </c>
      <c r="J11" s="6">
        <v>1997</v>
      </c>
      <c r="K11" s="6">
        <v>88</v>
      </c>
      <c r="L11" s="6">
        <f t="shared" si="0"/>
        <v>-1909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>
      <c r="A12" s="5" t="s">
        <v>57</v>
      </c>
      <c r="B12" s="5" t="s">
        <v>58</v>
      </c>
      <c r="C12" s="6" t="s">
        <v>59</v>
      </c>
      <c r="D12" s="7" t="s">
        <v>54</v>
      </c>
      <c r="E12" s="8">
        <v>879095867</v>
      </c>
      <c r="F12" s="5" t="s">
        <v>16</v>
      </c>
      <c r="G12" s="5" t="s">
        <v>55</v>
      </c>
      <c r="H12" s="5" t="s">
        <v>60</v>
      </c>
      <c r="I12" s="5" t="s">
        <v>61</v>
      </c>
      <c r="J12" s="6">
        <v>42</v>
      </c>
      <c r="K12" s="6">
        <v>340</v>
      </c>
      <c r="L12" s="6">
        <f t="shared" si="0"/>
        <v>298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>
      <c r="A13" s="5" t="s">
        <v>57</v>
      </c>
      <c r="B13" s="5" t="s">
        <v>58</v>
      </c>
      <c r="C13" s="6" t="s">
        <v>59</v>
      </c>
      <c r="D13" s="7" t="s">
        <v>54</v>
      </c>
      <c r="E13" s="8">
        <v>879095867</v>
      </c>
      <c r="F13" s="5" t="s">
        <v>16</v>
      </c>
      <c r="G13" s="5" t="s">
        <v>55</v>
      </c>
      <c r="H13" s="5" t="s">
        <v>60</v>
      </c>
      <c r="I13" s="5" t="s">
        <v>19</v>
      </c>
      <c r="J13" s="6">
        <v>145</v>
      </c>
      <c r="K13" s="6">
        <v>0</v>
      </c>
      <c r="L13" s="6">
        <f t="shared" si="0"/>
        <v>-145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>
      <c r="A14" s="5" t="s">
        <v>62</v>
      </c>
      <c r="B14" s="5" t="s">
        <v>63</v>
      </c>
      <c r="C14" s="6" t="s">
        <v>64</v>
      </c>
      <c r="D14" s="7" t="s">
        <v>54</v>
      </c>
      <c r="E14" s="8">
        <v>879095867</v>
      </c>
      <c r="F14" s="5" t="s">
        <v>16</v>
      </c>
      <c r="G14" s="5" t="s">
        <v>55</v>
      </c>
      <c r="H14" s="5" t="s">
        <v>65</v>
      </c>
      <c r="I14" s="5" t="s">
        <v>61</v>
      </c>
      <c r="J14" s="6">
        <v>633</v>
      </c>
      <c r="K14" s="6">
        <v>389</v>
      </c>
      <c r="L14" s="6">
        <f t="shared" si="0"/>
        <v>-244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>
      <c r="A15" s="5" t="s">
        <v>62</v>
      </c>
      <c r="B15" s="5" t="s">
        <v>63</v>
      </c>
      <c r="C15" s="6" t="s">
        <v>64</v>
      </c>
      <c r="D15" s="7" t="s">
        <v>54</v>
      </c>
      <c r="E15" s="8">
        <v>879095867</v>
      </c>
      <c r="F15" s="5" t="s">
        <v>16</v>
      </c>
      <c r="G15" s="5" t="s">
        <v>55</v>
      </c>
      <c r="H15" s="5" t="s">
        <v>65</v>
      </c>
      <c r="I15" s="5" t="s">
        <v>19</v>
      </c>
      <c r="J15" s="6">
        <v>870</v>
      </c>
      <c r="K15" s="6">
        <v>0</v>
      </c>
      <c r="L15" s="6">
        <f t="shared" si="0"/>
        <v>-870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>
      <c r="A16" s="5" t="s">
        <v>66</v>
      </c>
      <c r="B16" s="5" t="s">
        <v>67</v>
      </c>
      <c r="C16" s="6" t="s">
        <v>68</v>
      </c>
      <c r="D16" s="7" t="s">
        <v>54</v>
      </c>
      <c r="E16" s="8">
        <v>879095867</v>
      </c>
      <c r="F16" s="5" t="s">
        <v>16</v>
      </c>
      <c r="G16" s="5" t="s">
        <v>55</v>
      </c>
      <c r="H16" s="5" t="s">
        <v>60</v>
      </c>
      <c r="I16" s="5" t="s">
        <v>61</v>
      </c>
      <c r="J16" s="6">
        <v>435</v>
      </c>
      <c r="K16" s="6">
        <v>201</v>
      </c>
      <c r="L16" s="6">
        <f t="shared" si="0"/>
        <v>-234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>
      <c r="A17" s="5" t="s">
        <v>66</v>
      </c>
      <c r="B17" s="5" t="s">
        <v>67</v>
      </c>
      <c r="C17" s="6" t="s">
        <v>68</v>
      </c>
      <c r="D17" s="7" t="s">
        <v>54</v>
      </c>
      <c r="E17" s="8">
        <v>879095867</v>
      </c>
      <c r="F17" s="5" t="s">
        <v>16</v>
      </c>
      <c r="G17" s="5" t="s">
        <v>55</v>
      </c>
      <c r="H17" s="5" t="s">
        <v>60</v>
      </c>
      <c r="I17" s="5" t="s">
        <v>19</v>
      </c>
      <c r="J17" s="6">
        <v>301</v>
      </c>
      <c r="K17" s="6">
        <v>0</v>
      </c>
      <c r="L17" s="6">
        <f t="shared" si="0"/>
        <v>-301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>
      <c r="A18" s="5" t="s">
        <v>69</v>
      </c>
      <c r="B18" s="5" t="s">
        <v>70</v>
      </c>
      <c r="C18" s="6" t="s">
        <v>71</v>
      </c>
      <c r="D18" s="7" t="s">
        <v>54</v>
      </c>
      <c r="E18" s="8">
        <v>879095867</v>
      </c>
      <c r="F18" s="5" t="s">
        <v>16</v>
      </c>
      <c r="G18" s="5" t="s">
        <v>55</v>
      </c>
      <c r="H18" s="5" t="s">
        <v>72</v>
      </c>
      <c r="I18" s="5" t="s">
        <v>61</v>
      </c>
      <c r="J18" s="6">
        <v>686</v>
      </c>
      <c r="K18" s="6">
        <v>0</v>
      </c>
      <c r="L18" s="6">
        <f t="shared" si="0"/>
        <v>-686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5" t="s">
        <v>69</v>
      </c>
      <c r="B19" s="5" t="s">
        <v>70</v>
      </c>
      <c r="C19" s="6" t="s">
        <v>71</v>
      </c>
      <c r="D19" s="7" t="s">
        <v>54</v>
      </c>
      <c r="E19" s="8">
        <v>879095867</v>
      </c>
      <c r="F19" s="5" t="s">
        <v>16</v>
      </c>
      <c r="G19" s="5" t="s">
        <v>55</v>
      </c>
      <c r="H19" s="5" t="s">
        <v>72</v>
      </c>
      <c r="I19" s="5" t="s">
        <v>19</v>
      </c>
      <c r="J19" s="6">
        <v>978</v>
      </c>
      <c r="K19" s="6">
        <v>0</v>
      </c>
      <c r="L19" s="6">
        <f t="shared" si="0"/>
        <v>-978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5" t="s">
        <v>73</v>
      </c>
      <c r="B20" s="5" t="s">
        <v>74</v>
      </c>
      <c r="C20" s="6" t="s">
        <v>75</v>
      </c>
      <c r="D20" s="7" t="s">
        <v>54</v>
      </c>
      <c r="E20" s="8">
        <v>879095867</v>
      </c>
      <c r="F20" s="5" t="s">
        <v>16</v>
      </c>
      <c r="G20" s="5" t="s">
        <v>55</v>
      </c>
      <c r="H20" s="5" t="s">
        <v>76</v>
      </c>
      <c r="I20" s="5" t="s">
        <v>61</v>
      </c>
      <c r="J20" s="6">
        <v>929</v>
      </c>
      <c r="K20" s="6">
        <v>0</v>
      </c>
      <c r="L20" s="6">
        <f t="shared" si="0"/>
        <v>-929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5" t="s">
        <v>73</v>
      </c>
      <c r="B21" s="5" t="s">
        <v>74</v>
      </c>
      <c r="C21" s="6" t="s">
        <v>75</v>
      </c>
      <c r="D21" s="7" t="s">
        <v>54</v>
      </c>
      <c r="E21" s="8">
        <v>879095867</v>
      </c>
      <c r="F21" s="5" t="s">
        <v>16</v>
      </c>
      <c r="G21" s="5" t="s">
        <v>55</v>
      </c>
      <c r="H21" s="5" t="s">
        <v>76</v>
      </c>
      <c r="I21" s="5" t="s">
        <v>19</v>
      </c>
      <c r="J21" s="6">
        <v>453</v>
      </c>
      <c r="K21" s="6">
        <v>537</v>
      </c>
      <c r="L21" s="6">
        <f t="shared" si="0"/>
        <v>84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5" t="s">
        <v>77</v>
      </c>
      <c r="B22" s="5" t="s">
        <v>78</v>
      </c>
      <c r="C22" s="6" t="s">
        <v>79</v>
      </c>
      <c r="D22" s="7" t="s">
        <v>54</v>
      </c>
      <c r="E22" s="8">
        <v>879095867</v>
      </c>
      <c r="F22" s="5" t="s">
        <v>16</v>
      </c>
      <c r="G22" s="5" t="s">
        <v>55</v>
      </c>
      <c r="H22" s="5" t="s">
        <v>80</v>
      </c>
      <c r="I22" s="5" t="s">
        <v>61</v>
      </c>
      <c r="J22" s="6">
        <v>962</v>
      </c>
      <c r="K22" s="6">
        <v>537</v>
      </c>
      <c r="L22" s="6">
        <f t="shared" si="0"/>
        <v>-425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5" t="s">
        <v>81</v>
      </c>
      <c r="B23" s="5" t="s">
        <v>82</v>
      </c>
      <c r="C23" s="6" t="s">
        <v>83</v>
      </c>
      <c r="D23" s="7" t="s">
        <v>54</v>
      </c>
      <c r="E23" s="8">
        <v>879095867</v>
      </c>
      <c r="F23" s="5" t="s">
        <v>16</v>
      </c>
      <c r="G23" s="5" t="s">
        <v>55</v>
      </c>
      <c r="H23" s="5" t="s">
        <v>72</v>
      </c>
      <c r="I23" s="5" t="s">
        <v>19</v>
      </c>
      <c r="J23" s="6">
        <v>662</v>
      </c>
      <c r="K23" s="6">
        <v>537</v>
      </c>
      <c r="L23" s="6">
        <f t="shared" si="0"/>
        <v>-125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5" t="s">
        <v>84</v>
      </c>
      <c r="B24" s="5" t="s">
        <v>85</v>
      </c>
      <c r="C24" s="6" t="s">
        <v>86</v>
      </c>
      <c r="D24" s="7" t="s">
        <v>54</v>
      </c>
      <c r="E24" s="8">
        <v>879095867</v>
      </c>
      <c r="F24" s="5" t="s">
        <v>16</v>
      </c>
      <c r="G24" s="5" t="s">
        <v>55</v>
      </c>
      <c r="H24" s="5" t="s">
        <v>87</v>
      </c>
      <c r="I24" s="5" t="s">
        <v>19</v>
      </c>
      <c r="J24" s="6">
        <v>786</v>
      </c>
      <c r="K24" s="6">
        <v>537</v>
      </c>
      <c r="L24" s="6">
        <f t="shared" si="0"/>
        <v>-249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5" t="s">
        <v>88</v>
      </c>
      <c r="B25" s="5" t="s">
        <v>89</v>
      </c>
      <c r="C25" s="6" t="s">
        <v>90</v>
      </c>
      <c r="D25" s="7" t="s">
        <v>54</v>
      </c>
      <c r="E25" s="8">
        <v>879095867</v>
      </c>
      <c r="F25" s="5" t="s">
        <v>16</v>
      </c>
      <c r="G25" s="5" t="s">
        <v>55</v>
      </c>
      <c r="H25" s="5" t="s">
        <v>65</v>
      </c>
      <c r="I25" s="5" t="s">
        <v>61</v>
      </c>
      <c r="J25" s="6">
        <v>94</v>
      </c>
      <c r="K25" s="6">
        <v>148</v>
      </c>
      <c r="L25" s="6">
        <f t="shared" si="0"/>
        <v>54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5" t="s">
        <v>88</v>
      </c>
      <c r="B26" s="5" t="s">
        <v>89</v>
      </c>
      <c r="C26" s="6" t="s">
        <v>90</v>
      </c>
      <c r="D26" s="7" t="s">
        <v>54</v>
      </c>
      <c r="E26" s="8">
        <v>879095867</v>
      </c>
      <c r="F26" s="5" t="s">
        <v>16</v>
      </c>
      <c r="G26" s="5" t="s">
        <v>55</v>
      </c>
      <c r="H26" s="5" t="s">
        <v>65</v>
      </c>
      <c r="I26" s="5" t="s">
        <v>19</v>
      </c>
      <c r="J26" s="6">
        <v>84</v>
      </c>
      <c r="K26" s="6">
        <v>0</v>
      </c>
      <c r="L26" s="6">
        <f t="shared" si="0"/>
        <v>-84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5" t="s">
        <v>91</v>
      </c>
      <c r="B27" s="5" t="s">
        <v>92</v>
      </c>
      <c r="C27" s="6" t="s">
        <v>93</v>
      </c>
      <c r="D27" s="7" t="s">
        <v>54</v>
      </c>
      <c r="E27" s="8">
        <v>879095867</v>
      </c>
      <c r="F27" s="5" t="s">
        <v>16</v>
      </c>
      <c r="G27" s="5" t="s">
        <v>55</v>
      </c>
      <c r="H27" s="5" t="s">
        <v>65</v>
      </c>
      <c r="I27" s="5" t="s">
        <v>19</v>
      </c>
      <c r="J27" s="6">
        <v>459</v>
      </c>
      <c r="K27" s="6">
        <v>0</v>
      </c>
      <c r="L27" s="6">
        <f t="shared" si="0"/>
        <v>-459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5" t="s">
        <v>94</v>
      </c>
      <c r="B28" s="5" t="s">
        <v>95</v>
      </c>
      <c r="C28" s="6" t="s">
        <v>96</v>
      </c>
      <c r="D28" s="7" t="s">
        <v>54</v>
      </c>
      <c r="E28" s="8">
        <v>879095867</v>
      </c>
      <c r="F28" s="5" t="s">
        <v>16</v>
      </c>
      <c r="G28" s="5" t="s">
        <v>55</v>
      </c>
      <c r="H28" s="5" t="s">
        <v>65</v>
      </c>
      <c r="I28" s="5" t="s">
        <v>19</v>
      </c>
      <c r="J28" s="6">
        <v>211</v>
      </c>
      <c r="K28" s="6">
        <v>0</v>
      </c>
      <c r="L28" s="6">
        <f t="shared" si="0"/>
        <v>-211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5" t="s">
        <v>97</v>
      </c>
      <c r="B29" s="5" t="s">
        <v>98</v>
      </c>
      <c r="C29" s="6" t="s">
        <v>99</v>
      </c>
      <c r="D29" s="7" t="s">
        <v>54</v>
      </c>
      <c r="E29" s="8">
        <v>879095867</v>
      </c>
      <c r="F29" s="5" t="s">
        <v>16</v>
      </c>
      <c r="G29" s="5" t="s">
        <v>55</v>
      </c>
      <c r="H29" s="5" t="s">
        <v>100</v>
      </c>
      <c r="I29" s="5" t="s">
        <v>61</v>
      </c>
      <c r="J29" s="6">
        <v>1595</v>
      </c>
      <c r="K29" s="6">
        <v>0</v>
      </c>
      <c r="L29" s="6">
        <f t="shared" si="0"/>
        <v>-1595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5" t="s">
        <v>97</v>
      </c>
      <c r="B30" s="5" t="s">
        <v>98</v>
      </c>
      <c r="C30" s="6" t="s">
        <v>99</v>
      </c>
      <c r="D30" s="7" t="s">
        <v>54</v>
      </c>
      <c r="E30" s="8">
        <v>879095867</v>
      </c>
      <c r="F30" s="5" t="s">
        <v>16</v>
      </c>
      <c r="G30" s="5" t="s">
        <v>55</v>
      </c>
      <c r="H30" s="5" t="s">
        <v>100</v>
      </c>
      <c r="I30" s="5" t="s">
        <v>19</v>
      </c>
      <c r="J30" s="6">
        <v>0</v>
      </c>
      <c r="K30" s="6">
        <v>537</v>
      </c>
      <c r="L30" s="6">
        <f t="shared" si="0"/>
        <v>537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5" t="s">
        <v>101</v>
      </c>
      <c r="B31" s="5" t="s">
        <v>102</v>
      </c>
      <c r="C31" s="6" t="s">
        <v>103</v>
      </c>
      <c r="D31" s="7" t="s">
        <v>54</v>
      </c>
      <c r="E31" s="8">
        <v>879095867</v>
      </c>
      <c r="F31" s="5" t="s">
        <v>16</v>
      </c>
      <c r="G31" s="5" t="s">
        <v>55</v>
      </c>
      <c r="H31" s="5" t="s">
        <v>104</v>
      </c>
      <c r="I31" s="5" t="s">
        <v>19</v>
      </c>
      <c r="J31" s="6">
        <v>1930</v>
      </c>
      <c r="K31" s="6">
        <v>537</v>
      </c>
      <c r="L31" s="6">
        <f t="shared" si="0"/>
        <v>-1393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5" t="s">
        <v>105</v>
      </c>
      <c r="B32" s="5" t="s">
        <v>52</v>
      </c>
      <c r="C32" s="6">
        <v>867878815</v>
      </c>
      <c r="D32" s="7" t="s">
        <v>54</v>
      </c>
      <c r="E32" s="8">
        <v>879095867</v>
      </c>
      <c r="F32" s="5" t="s">
        <v>16</v>
      </c>
      <c r="G32" s="5" t="s">
        <v>55</v>
      </c>
      <c r="H32" s="5" t="s">
        <v>56</v>
      </c>
      <c r="I32" s="5" t="s">
        <v>61</v>
      </c>
      <c r="J32" s="6">
        <v>0</v>
      </c>
      <c r="K32" s="6">
        <v>449</v>
      </c>
      <c r="L32" s="6">
        <f t="shared" si="0"/>
        <v>449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5" t="s">
        <v>106</v>
      </c>
      <c r="B33" s="5" t="s">
        <v>107</v>
      </c>
      <c r="C33" s="6" t="s">
        <v>108</v>
      </c>
      <c r="D33" s="7" t="s">
        <v>109</v>
      </c>
      <c r="E33" s="8">
        <v>875454103</v>
      </c>
      <c r="F33" s="5" t="s">
        <v>16</v>
      </c>
      <c r="G33" s="5" t="s">
        <v>110</v>
      </c>
      <c r="H33" s="5" t="s">
        <v>111</v>
      </c>
      <c r="I33" s="5" t="s">
        <v>61</v>
      </c>
      <c r="J33" s="6">
        <v>2</v>
      </c>
      <c r="K33" s="6">
        <v>185</v>
      </c>
      <c r="L33" s="6">
        <f t="shared" si="0"/>
        <v>183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5" t="s">
        <v>106</v>
      </c>
      <c r="B34" s="5" t="s">
        <v>107</v>
      </c>
      <c r="C34" s="6" t="s">
        <v>108</v>
      </c>
      <c r="D34" s="7" t="s">
        <v>109</v>
      </c>
      <c r="E34" s="8">
        <v>875454103</v>
      </c>
      <c r="F34" s="5" t="s">
        <v>16</v>
      </c>
      <c r="G34" s="5" t="s">
        <v>110</v>
      </c>
      <c r="H34" s="5" t="s">
        <v>111</v>
      </c>
      <c r="I34" s="5" t="s">
        <v>19</v>
      </c>
      <c r="J34" s="6">
        <v>279</v>
      </c>
      <c r="K34" s="6">
        <v>0</v>
      </c>
      <c r="L34" s="6">
        <f t="shared" si="0"/>
        <v>-279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5" t="s">
        <v>112</v>
      </c>
      <c r="B35" s="5" t="s">
        <v>113</v>
      </c>
      <c r="C35" s="6" t="s">
        <v>114</v>
      </c>
      <c r="D35" s="7" t="s">
        <v>109</v>
      </c>
      <c r="E35" s="8">
        <v>875454103</v>
      </c>
      <c r="F35" s="5" t="s">
        <v>16</v>
      </c>
      <c r="G35" s="5" t="s">
        <v>110</v>
      </c>
      <c r="H35" s="5" t="s">
        <v>115</v>
      </c>
      <c r="I35" s="5" t="s">
        <v>61</v>
      </c>
      <c r="J35" s="6">
        <v>452</v>
      </c>
      <c r="K35" s="6">
        <v>637</v>
      </c>
      <c r="L35" s="6">
        <f t="shared" si="0"/>
        <v>185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5" t="s">
        <v>112</v>
      </c>
      <c r="B36" s="5" t="s">
        <v>113</v>
      </c>
      <c r="C36" s="6" t="s">
        <v>114</v>
      </c>
      <c r="D36" s="7" t="s">
        <v>109</v>
      </c>
      <c r="E36" s="8">
        <v>875454103</v>
      </c>
      <c r="F36" s="5" t="s">
        <v>16</v>
      </c>
      <c r="G36" s="5" t="s">
        <v>110</v>
      </c>
      <c r="H36" s="5" t="s">
        <v>115</v>
      </c>
      <c r="I36" s="5" t="s">
        <v>19</v>
      </c>
      <c r="J36" s="6">
        <v>181</v>
      </c>
      <c r="K36" s="6">
        <v>0</v>
      </c>
      <c r="L36" s="6">
        <f t="shared" si="0"/>
        <v>-181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5" t="s">
        <v>116</v>
      </c>
      <c r="B37" s="5" t="s">
        <v>117</v>
      </c>
      <c r="C37" s="6" t="s">
        <v>118</v>
      </c>
      <c r="D37" s="7" t="s">
        <v>109</v>
      </c>
      <c r="E37" s="8">
        <v>875454103</v>
      </c>
      <c r="F37" s="5" t="s">
        <v>16</v>
      </c>
      <c r="G37" s="5" t="s">
        <v>110</v>
      </c>
      <c r="H37" s="5" t="s">
        <v>119</v>
      </c>
      <c r="I37" s="5" t="s">
        <v>61</v>
      </c>
      <c r="J37" s="6">
        <v>12</v>
      </c>
      <c r="K37" s="6">
        <v>0</v>
      </c>
      <c r="L37" s="6">
        <f t="shared" si="0"/>
        <v>-12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5" t="s">
        <v>116</v>
      </c>
      <c r="B38" s="5" t="s">
        <v>117</v>
      </c>
      <c r="C38" s="6" t="s">
        <v>118</v>
      </c>
      <c r="D38" s="7" t="s">
        <v>109</v>
      </c>
      <c r="E38" s="8">
        <v>875454103</v>
      </c>
      <c r="F38" s="5" t="s">
        <v>16</v>
      </c>
      <c r="G38" s="5" t="s">
        <v>110</v>
      </c>
      <c r="H38" s="5" t="s">
        <v>119</v>
      </c>
      <c r="I38" s="5" t="s">
        <v>19</v>
      </c>
      <c r="J38" s="6">
        <v>199</v>
      </c>
      <c r="K38" s="6">
        <v>0</v>
      </c>
      <c r="L38" s="6">
        <f t="shared" si="0"/>
        <v>-199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5" t="s">
        <v>120</v>
      </c>
      <c r="B39" s="5" t="s">
        <v>121</v>
      </c>
      <c r="C39" s="6" t="s">
        <v>122</v>
      </c>
      <c r="D39" s="7" t="s">
        <v>109</v>
      </c>
      <c r="E39" s="8">
        <v>875454103</v>
      </c>
      <c r="F39" s="5" t="s">
        <v>16</v>
      </c>
      <c r="G39" s="5" t="s">
        <v>110</v>
      </c>
      <c r="H39" s="5" t="s">
        <v>119</v>
      </c>
      <c r="I39" s="5" t="s">
        <v>19</v>
      </c>
      <c r="J39" s="6">
        <v>177</v>
      </c>
      <c r="K39" s="6">
        <v>0</v>
      </c>
      <c r="L39" s="6">
        <f t="shared" si="0"/>
        <v>-177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5" t="s">
        <v>123</v>
      </c>
      <c r="B40" s="5" t="s">
        <v>124</v>
      </c>
      <c r="C40" s="6" t="s">
        <v>125</v>
      </c>
      <c r="D40" s="7" t="s">
        <v>109</v>
      </c>
      <c r="E40" s="8">
        <v>875454103</v>
      </c>
      <c r="F40" s="5" t="s">
        <v>16</v>
      </c>
      <c r="G40" s="5" t="s">
        <v>110</v>
      </c>
      <c r="H40" s="5" t="s">
        <v>119</v>
      </c>
      <c r="I40" s="5" t="s">
        <v>61</v>
      </c>
      <c r="J40" s="6">
        <v>29</v>
      </c>
      <c r="K40" s="6">
        <v>0</v>
      </c>
      <c r="L40" s="6">
        <f t="shared" si="0"/>
        <v>-29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5" t="s">
        <v>123</v>
      </c>
      <c r="B41" s="5" t="s">
        <v>124</v>
      </c>
      <c r="C41" s="6" t="s">
        <v>125</v>
      </c>
      <c r="D41" s="7" t="s">
        <v>109</v>
      </c>
      <c r="E41" s="8">
        <v>875454103</v>
      </c>
      <c r="F41" s="5" t="s">
        <v>16</v>
      </c>
      <c r="G41" s="5" t="s">
        <v>110</v>
      </c>
      <c r="H41" s="5" t="s">
        <v>119</v>
      </c>
      <c r="I41" s="5" t="s">
        <v>19</v>
      </c>
      <c r="J41" s="6">
        <v>73</v>
      </c>
      <c r="K41" s="6">
        <v>0</v>
      </c>
      <c r="L41" s="6">
        <f t="shared" si="0"/>
        <v>-73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5" t="s">
        <v>126</v>
      </c>
      <c r="B42" s="5" t="s">
        <v>127</v>
      </c>
      <c r="C42" s="6" t="s">
        <v>128</v>
      </c>
      <c r="D42" s="7" t="s">
        <v>109</v>
      </c>
      <c r="E42" s="8">
        <v>875454103</v>
      </c>
      <c r="F42" s="5" t="s">
        <v>16</v>
      </c>
      <c r="G42" s="5" t="s">
        <v>110</v>
      </c>
      <c r="H42" s="5" t="s">
        <v>119</v>
      </c>
      <c r="I42" s="5" t="s">
        <v>19</v>
      </c>
      <c r="J42" s="6">
        <v>249</v>
      </c>
      <c r="K42" s="6">
        <v>249</v>
      </c>
      <c r="L42" s="6">
        <f t="shared" si="0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5" t="s">
        <v>129</v>
      </c>
      <c r="B43" s="5" t="s">
        <v>109</v>
      </c>
      <c r="C43" s="6" t="s">
        <v>130</v>
      </c>
      <c r="D43" s="7" t="s">
        <v>109</v>
      </c>
      <c r="E43" s="8">
        <v>875454103</v>
      </c>
      <c r="F43" s="5" t="s">
        <v>16</v>
      </c>
      <c r="G43" s="5" t="s">
        <v>110</v>
      </c>
      <c r="H43" s="5" t="s">
        <v>131</v>
      </c>
      <c r="I43" s="5" t="s">
        <v>61</v>
      </c>
      <c r="J43" s="6">
        <v>8</v>
      </c>
      <c r="K43" s="6">
        <v>0</v>
      </c>
      <c r="L43" s="6">
        <f t="shared" si="0"/>
        <v>-8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5" t="s">
        <v>129</v>
      </c>
      <c r="B44" s="5" t="s">
        <v>109</v>
      </c>
      <c r="C44" s="6" t="s">
        <v>130</v>
      </c>
      <c r="D44" s="7" t="s">
        <v>109</v>
      </c>
      <c r="E44" s="8">
        <v>875454103</v>
      </c>
      <c r="F44" s="5" t="s">
        <v>16</v>
      </c>
      <c r="G44" s="5" t="s">
        <v>110</v>
      </c>
      <c r="H44" s="5" t="s">
        <v>131</v>
      </c>
      <c r="I44" s="5" t="s">
        <v>19</v>
      </c>
      <c r="J44" s="6">
        <v>66</v>
      </c>
      <c r="K44" s="6">
        <v>0</v>
      </c>
      <c r="L44" s="6">
        <f t="shared" si="0"/>
        <v>-66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5" t="s">
        <v>132</v>
      </c>
      <c r="B45" s="5" t="s">
        <v>133</v>
      </c>
      <c r="C45" s="6" t="s">
        <v>134</v>
      </c>
      <c r="D45" s="7" t="s">
        <v>109</v>
      </c>
      <c r="E45" s="8">
        <v>875454103</v>
      </c>
      <c r="F45" s="5" t="s">
        <v>16</v>
      </c>
      <c r="G45" s="5" t="s">
        <v>110</v>
      </c>
      <c r="H45" s="5" t="s">
        <v>131</v>
      </c>
      <c r="I45" s="5" t="s">
        <v>61</v>
      </c>
      <c r="J45" s="6">
        <v>7</v>
      </c>
      <c r="K45" s="6">
        <v>0</v>
      </c>
      <c r="L45" s="6">
        <f t="shared" si="0"/>
        <v>-7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7">
      <c r="A46" s="5" t="s">
        <v>132</v>
      </c>
      <c r="B46" s="5" t="s">
        <v>133</v>
      </c>
      <c r="C46" s="6" t="s">
        <v>134</v>
      </c>
      <c r="D46" s="7" t="s">
        <v>109</v>
      </c>
      <c r="E46" s="8">
        <v>875454103</v>
      </c>
      <c r="F46" s="5" t="s">
        <v>16</v>
      </c>
      <c r="G46" s="5" t="s">
        <v>110</v>
      </c>
      <c r="H46" s="5" t="s">
        <v>131</v>
      </c>
      <c r="I46" s="5" t="s">
        <v>19</v>
      </c>
      <c r="J46" s="6">
        <v>89</v>
      </c>
      <c r="K46" s="6">
        <v>0</v>
      </c>
      <c r="L46" s="6">
        <f t="shared" si="0"/>
        <v>-89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7">
      <c r="A47" s="5" t="s">
        <v>135</v>
      </c>
      <c r="B47" s="5" t="s">
        <v>136</v>
      </c>
      <c r="C47" s="6" t="s">
        <v>114</v>
      </c>
      <c r="D47" s="7" t="s">
        <v>109</v>
      </c>
      <c r="E47" s="8">
        <v>875454103</v>
      </c>
      <c r="F47" s="5" t="s">
        <v>16</v>
      </c>
      <c r="G47" s="5" t="s">
        <v>110</v>
      </c>
      <c r="H47" s="5" t="s">
        <v>137</v>
      </c>
      <c r="I47" s="5" t="s">
        <v>61</v>
      </c>
      <c r="J47" s="6">
        <v>185</v>
      </c>
      <c r="K47" s="6">
        <v>123</v>
      </c>
      <c r="L47" s="6">
        <f t="shared" si="0"/>
        <v>-62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7">
      <c r="A48" s="5" t="s">
        <v>138</v>
      </c>
      <c r="B48" s="5" t="s">
        <v>139</v>
      </c>
      <c r="C48" s="6" t="s">
        <v>140</v>
      </c>
      <c r="D48" s="7" t="s">
        <v>109</v>
      </c>
      <c r="E48" s="8">
        <v>875454103</v>
      </c>
      <c r="F48" s="5" t="s">
        <v>16</v>
      </c>
      <c r="G48" s="5" t="s">
        <v>110</v>
      </c>
      <c r="H48" s="5" t="s">
        <v>119</v>
      </c>
      <c r="I48" s="5" t="s">
        <v>61</v>
      </c>
      <c r="J48" s="6">
        <v>7</v>
      </c>
      <c r="K48" s="6">
        <v>0</v>
      </c>
      <c r="L48" s="6">
        <f t="shared" si="0"/>
        <v>-7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7">
      <c r="A49" s="5" t="s">
        <v>138</v>
      </c>
      <c r="B49" s="5" t="s">
        <v>139</v>
      </c>
      <c r="C49" s="6" t="s">
        <v>140</v>
      </c>
      <c r="D49" s="7" t="s">
        <v>109</v>
      </c>
      <c r="E49" s="8">
        <v>875454103</v>
      </c>
      <c r="F49" s="5" t="s">
        <v>16</v>
      </c>
      <c r="G49" s="5" t="s">
        <v>110</v>
      </c>
      <c r="H49" s="5" t="s">
        <v>119</v>
      </c>
      <c r="I49" s="5" t="s">
        <v>19</v>
      </c>
      <c r="J49" s="6">
        <v>90</v>
      </c>
      <c r="K49" s="6">
        <v>0</v>
      </c>
      <c r="L49" s="6">
        <f t="shared" si="0"/>
        <v>-90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7">
      <c r="A50" s="5" t="s">
        <v>141</v>
      </c>
      <c r="B50" s="5" t="s">
        <v>142</v>
      </c>
      <c r="C50" s="6" t="s">
        <v>143</v>
      </c>
      <c r="D50" s="7" t="s">
        <v>109</v>
      </c>
      <c r="E50" s="8">
        <v>875454103</v>
      </c>
      <c r="F50" s="5" t="s">
        <v>16</v>
      </c>
      <c r="G50" s="5" t="s">
        <v>110</v>
      </c>
      <c r="H50" s="5" t="s">
        <v>131</v>
      </c>
      <c r="I50" s="5" t="s">
        <v>61</v>
      </c>
      <c r="J50" s="6">
        <v>44</v>
      </c>
      <c r="K50" s="6">
        <v>44</v>
      </c>
      <c r="L50" s="6">
        <f t="shared" si="0"/>
        <v>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7">
      <c r="A51" s="5" t="s">
        <v>144</v>
      </c>
      <c r="B51" s="5" t="s">
        <v>145</v>
      </c>
      <c r="C51" s="6" t="s">
        <v>146</v>
      </c>
      <c r="D51" s="7" t="s">
        <v>109</v>
      </c>
      <c r="E51" s="8">
        <v>875454103</v>
      </c>
      <c r="F51" s="5" t="s">
        <v>16</v>
      </c>
      <c r="G51" s="5" t="s">
        <v>110</v>
      </c>
      <c r="H51" s="5" t="s">
        <v>131</v>
      </c>
      <c r="I51" s="5" t="s">
        <v>61</v>
      </c>
      <c r="J51" s="6">
        <v>87</v>
      </c>
      <c r="K51" s="6">
        <v>0</v>
      </c>
      <c r="L51" s="6">
        <f t="shared" si="0"/>
        <v>-87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7">
      <c r="A52" s="5" t="s">
        <v>147</v>
      </c>
      <c r="B52" s="5" t="s">
        <v>148</v>
      </c>
      <c r="C52" s="6" t="s">
        <v>149</v>
      </c>
      <c r="D52" s="7" t="s">
        <v>109</v>
      </c>
      <c r="E52" s="8">
        <v>875454103</v>
      </c>
      <c r="F52" s="5" t="s">
        <v>16</v>
      </c>
      <c r="G52" s="5" t="s">
        <v>110</v>
      </c>
      <c r="H52" s="5" t="s">
        <v>131</v>
      </c>
      <c r="I52" s="5" t="s">
        <v>61</v>
      </c>
      <c r="J52" s="6">
        <v>163</v>
      </c>
      <c r="K52" s="6">
        <v>166</v>
      </c>
      <c r="L52" s="6">
        <f t="shared" si="0"/>
        <v>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7">
      <c r="A53" s="5" t="s">
        <v>150</v>
      </c>
      <c r="B53" s="5" t="s">
        <v>151</v>
      </c>
      <c r="C53" s="6" t="s">
        <v>152</v>
      </c>
      <c r="D53" s="7" t="s">
        <v>109</v>
      </c>
      <c r="E53" s="8">
        <v>875454103</v>
      </c>
      <c r="F53" s="5" t="s">
        <v>16</v>
      </c>
      <c r="G53" s="5" t="s">
        <v>110</v>
      </c>
      <c r="H53" s="5" t="s">
        <v>131</v>
      </c>
      <c r="I53" s="5" t="s">
        <v>61</v>
      </c>
      <c r="J53" s="6">
        <v>15</v>
      </c>
      <c r="K53" s="6">
        <v>8</v>
      </c>
      <c r="L53" s="6">
        <f t="shared" si="0"/>
        <v>-7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7">
      <c r="A54" s="5" t="s">
        <v>153</v>
      </c>
      <c r="B54" s="5" t="s">
        <v>154</v>
      </c>
      <c r="C54" s="6" t="s">
        <v>155</v>
      </c>
      <c r="D54" s="7" t="s">
        <v>109</v>
      </c>
      <c r="E54" s="8">
        <v>875454103</v>
      </c>
      <c r="F54" s="5" t="s">
        <v>16</v>
      </c>
      <c r="G54" s="5" t="s">
        <v>110</v>
      </c>
      <c r="H54" s="5" t="s">
        <v>156</v>
      </c>
      <c r="I54" s="5" t="s">
        <v>61</v>
      </c>
      <c r="J54" s="6">
        <v>162</v>
      </c>
      <c r="K54" s="6">
        <v>66</v>
      </c>
      <c r="L54" s="6">
        <f t="shared" si="0"/>
        <v>-96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7">
      <c r="A55" s="5" t="s">
        <v>157</v>
      </c>
      <c r="B55" s="5" t="s">
        <v>158</v>
      </c>
      <c r="C55" s="6" t="s">
        <v>159</v>
      </c>
      <c r="D55" s="7" t="s">
        <v>109</v>
      </c>
      <c r="E55" s="8">
        <v>875454103</v>
      </c>
      <c r="F55" s="5" t="s">
        <v>16</v>
      </c>
      <c r="G55" s="5" t="s">
        <v>110</v>
      </c>
      <c r="H55" s="5" t="s">
        <v>131</v>
      </c>
      <c r="I55" s="5" t="s">
        <v>61</v>
      </c>
      <c r="J55" s="6">
        <v>14</v>
      </c>
      <c r="K55" s="6">
        <v>0</v>
      </c>
      <c r="L55" s="6">
        <f t="shared" si="0"/>
        <v>-14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7">
      <c r="A56" s="5" t="s">
        <v>157</v>
      </c>
      <c r="B56" s="5" t="s">
        <v>158</v>
      </c>
      <c r="C56" s="6" t="s">
        <v>159</v>
      </c>
      <c r="D56" s="7" t="s">
        <v>109</v>
      </c>
      <c r="E56" s="8">
        <v>875454103</v>
      </c>
      <c r="F56" s="5" t="s">
        <v>16</v>
      </c>
      <c r="G56" s="5" t="s">
        <v>110</v>
      </c>
      <c r="H56" s="5" t="s">
        <v>131</v>
      </c>
      <c r="I56" s="5" t="s">
        <v>19</v>
      </c>
      <c r="J56" s="6">
        <v>76</v>
      </c>
      <c r="K56" s="6">
        <v>0</v>
      </c>
      <c r="L56" s="6">
        <f t="shared" si="0"/>
        <v>-76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7">
      <c r="A57" s="5" t="s">
        <v>160</v>
      </c>
      <c r="B57" s="5" t="s">
        <v>161</v>
      </c>
      <c r="C57" s="6" t="s">
        <v>162</v>
      </c>
      <c r="D57" s="7" t="s">
        <v>109</v>
      </c>
      <c r="E57" s="8">
        <v>875454103</v>
      </c>
      <c r="F57" s="5" t="s">
        <v>16</v>
      </c>
      <c r="G57" s="5" t="s">
        <v>110</v>
      </c>
      <c r="H57" s="5" t="s">
        <v>131</v>
      </c>
      <c r="I57" s="5" t="s">
        <v>61</v>
      </c>
      <c r="J57" s="6">
        <v>231</v>
      </c>
      <c r="K57" s="6">
        <v>193</v>
      </c>
      <c r="L57" s="6">
        <f t="shared" si="0"/>
        <v>-38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7">
      <c r="A58" s="5" t="s">
        <v>163</v>
      </c>
      <c r="B58" s="5" t="s">
        <v>164</v>
      </c>
      <c r="C58" s="6" t="s">
        <v>165</v>
      </c>
      <c r="D58" s="7" t="s">
        <v>166</v>
      </c>
      <c r="E58" s="8">
        <v>860795776</v>
      </c>
      <c r="F58" s="5" t="s">
        <v>16</v>
      </c>
      <c r="G58" s="5" t="s">
        <v>167</v>
      </c>
      <c r="H58" s="5" t="s">
        <v>168</v>
      </c>
      <c r="I58" s="5" t="s">
        <v>61</v>
      </c>
      <c r="J58" s="6">
        <v>385</v>
      </c>
      <c r="K58" s="6">
        <v>157</v>
      </c>
      <c r="L58" s="6">
        <f t="shared" si="0"/>
        <v>-228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7">
      <c r="A59" s="5" t="s">
        <v>163</v>
      </c>
      <c r="B59" s="5" t="s">
        <v>164</v>
      </c>
      <c r="C59" s="6" t="s">
        <v>165</v>
      </c>
      <c r="D59" s="7" t="s">
        <v>166</v>
      </c>
      <c r="E59" s="8">
        <v>860795776</v>
      </c>
      <c r="F59" s="5" t="s">
        <v>16</v>
      </c>
      <c r="G59" s="5" t="s">
        <v>167</v>
      </c>
      <c r="H59" s="5" t="s">
        <v>168</v>
      </c>
      <c r="I59" s="5" t="s">
        <v>19</v>
      </c>
      <c r="J59" s="6">
        <v>122</v>
      </c>
      <c r="K59" s="6">
        <v>0</v>
      </c>
      <c r="L59" s="6">
        <f t="shared" si="0"/>
        <v>-122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7">
      <c r="A60" s="5" t="s">
        <v>169</v>
      </c>
      <c r="B60" s="5" t="s">
        <v>170</v>
      </c>
      <c r="C60" s="6" t="s">
        <v>171</v>
      </c>
      <c r="D60" s="7" t="s">
        <v>166</v>
      </c>
      <c r="E60" s="8">
        <v>860795776</v>
      </c>
      <c r="F60" s="5" t="s">
        <v>16</v>
      </c>
      <c r="G60" s="5" t="s">
        <v>167</v>
      </c>
      <c r="H60" s="5" t="s">
        <v>172</v>
      </c>
      <c r="I60" s="5" t="s">
        <v>61</v>
      </c>
      <c r="J60" s="6">
        <v>134</v>
      </c>
      <c r="K60" s="6">
        <v>0</v>
      </c>
      <c r="L60" s="6">
        <f t="shared" si="0"/>
        <v>-134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7">
      <c r="A61" s="5" t="s">
        <v>169</v>
      </c>
      <c r="B61" s="5" t="s">
        <v>170</v>
      </c>
      <c r="C61" s="6" t="s">
        <v>171</v>
      </c>
      <c r="D61" s="7" t="s">
        <v>166</v>
      </c>
      <c r="E61" s="8">
        <v>860795776</v>
      </c>
      <c r="F61" s="5" t="s">
        <v>16</v>
      </c>
      <c r="G61" s="5" t="s">
        <v>167</v>
      </c>
      <c r="H61" s="5" t="s">
        <v>172</v>
      </c>
      <c r="I61" s="5" t="s">
        <v>19</v>
      </c>
      <c r="J61" s="6">
        <v>130</v>
      </c>
      <c r="K61" s="6">
        <v>0</v>
      </c>
      <c r="L61" s="6">
        <f t="shared" si="0"/>
        <v>-130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7">
      <c r="A62" s="5" t="s">
        <v>173</v>
      </c>
      <c r="B62" s="5" t="s">
        <v>174</v>
      </c>
      <c r="C62" s="6" t="s">
        <v>175</v>
      </c>
      <c r="D62" s="7" t="s">
        <v>166</v>
      </c>
      <c r="E62" s="8">
        <v>860795776</v>
      </c>
      <c r="F62" s="5" t="s">
        <v>16</v>
      </c>
      <c r="G62" s="5" t="s">
        <v>167</v>
      </c>
      <c r="H62" s="5" t="s">
        <v>168</v>
      </c>
      <c r="I62" s="5" t="s">
        <v>61</v>
      </c>
      <c r="J62" s="6">
        <v>75</v>
      </c>
      <c r="K62" s="6">
        <v>114</v>
      </c>
      <c r="L62" s="6">
        <f t="shared" si="0"/>
        <v>39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7">
      <c r="A63" s="5" t="s">
        <v>176</v>
      </c>
      <c r="B63" s="5" t="s">
        <v>177</v>
      </c>
      <c r="C63" s="6" t="s">
        <v>178</v>
      </c>
      <c r="D63" s="7" t="s">
        <v>166</v>
      </c>
      <c r="E63" s="8">
        <v>860795776</v>
      </c>
      <c r="F63" s="5" t="s">
        <v>16</v>
      </c>
      <c r="G63" s="5" t="s">
        <v>167</v>
      </c>
      <c r="H63" s="5" t="s">
        <v>172</v>
      </c>
      <c r="I63" s="5" t="s">
        <v>61</v>
      </c>
      <c r="J63" s="6">
        <v>64</v>
      </c>
      <c r="K63" s="6">
        <v>63</v>
      </c>
      <c r="L63" s="6">
        <f t="shared" si="0"/>
        <v>-1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7">
      <c r="A64" s="5" t="s">
        <v>176</v>
      </c>
      <c r="B64" s="5" t="s">
        <v>177</v>
      </c>
      <c r="C64" s="6" t="s">
        <v>178</v>
      </c>
      <c r="D64" s="7" t="s">
        <v>166</v>
      </c>
      <c r="E64" s="8">
        <v>860795776</v>
      </c>
      <c r="F64" s="5" t="s">
        <v>16</v>
      </c>
      <c r="G64" s="5" t="s">
        <v>167</v>
      </c>
      <c r="H64" s="5" t="s">
        <v>172</v>
      </c>
      <c r="I64" s="5" t="s">
        <v>19</v>
      </c>
      <c r="J64" s="6">
        <v>106</v>
      </c>
      <c r="K64" s="6">
        <v>0</v>
      </c>
      <c r="L64" s="6">
        <f t="shared" si="0"/>
        <v>-106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7">
      <c r="A65" s="5" t="s">
        <v>179</v>
      </c>
      <c r="B65" s="5" t="s">
        <v>180</v>
      </c>
      <c r="C65" s="6" t="s">
        <v>181</v>
      </c>
      <c r="D65" s="7" t="s">
        <v>166</v>
      </c>
      <c r="E65" s="8">
        <v>860795776</v>
      </c>
      <c r="F65" s="5" t="s">
        <v>16</v>
      </c>
      <c r="G65" s="5" t="s">
        <v>167</v>
      </c>
      <c r="H65" s="5" t="s">
        <v>182</v>
      </c>
      <c r="I65" s="5" t="s">
        <v>61</v>
      </c>
      <c r="J65" s="6">
        <v>811</v>
      </c>
      <c r="K65" s="6">
        <v>338</v>
      </c>
      <c r="L65" s="6">
        <f t="shared" si="0"/>
        <v>-473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7">
      <c r="A66" s="5" t="s">
        <v>183</v>
      </c>
      <c r="B66" s="5" t="s">
        <v>184</v>
      </c>
      <c r="C66" s="6" t="s">
        <v>185</v>
      </c>
      <c r="D66" s="7" t="s">
        <v>166</v>
      </c>
      <c r="E66" s="8">
        <v>860795776</v>
      </c>
      <c r="F66" s="5" t="s">
        <v>16</v>
      </c>
      <c r="G66" s="5" t="s">
        <v>167</v>
      </c>
      <c r="H66" s="5" t="s">
        <v>186</v>
      </c>
      <c r="I66" s="5" t="s">
        <v>61</v>
      </c>
      <c r="J66" s="6">
        <v>494</v>
      </c>
      <c r="K66" s="6">
        <v>339</v>
      </c>
      <c r="L66" s="6">
        <f t="shared" si="0"/>
        <v>-155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7">
      <c r="A67" s="5" t="s">
        <v>187</v>
      </c>
      <c r="B67" s="5" t="s">
        <v>188</v>
      </c>
      <c r="C67" s="6" t="s">
        <v>189</v>
      </c>
      <c r="D67" s="7" t="s">
        <v>166</v>
      </c>
      <c r="E67" s="8">
        <v>860795776</v>
      </c>
      <c r="F67" s="5" t="s">
        <v>16</v>
      </c>
      <c r="G67" s="5" t="s">
        <v>167</v>
      </c>
      <c r="H67" s="5" t="s">
        <v>190</v>
      </c>
      <c r="I67" s="5" t="s">
        <v>61</v>
      </c>
      <c r="J67" s="6">
        <v>2285</v>
      </c>
      <c r="K67" s="6">
        <v>339</v>
      </c>
      <c r="L67" s="6">
        <f t="shared" si="0"/>
        <v>-1946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7">
      <c r="A68" s="5" t="s">
        <v>191</v>
      </c>
      <c r="B68" s="5" t="s">
        <v>192</v>
      </c>
      <c r="C68" s="6" t="s">
        <v>193</v>
      </c>
      <c r="D68" s="7" t="s">
        <v>166</v>
      </c>
      <c r="E68" s="8">
        <v>860795776</v>
      </c>
      <c r="F68" s="5" t="s">
        <v>16</v>
      </c>
      <c r="G68" s="5" t="s">
        <v>167</v>
      </c>
      <c r="H68" s="5" t="s">
        <v>172</v>
      </c>
      <c r="I68" s="5" t="s">
        <v>61</v>
      </c>
      <c r="J68" s="6">
        <v>174</v>
      </c>
      <c r="K68" s="6">
        <v>276</v>
      </c>
      <c r="L68" s="6">
        <f t="shared" si="0"/>
        <v>102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7">
      <c r="A69" s="5" t="s">
        <v>191</v>
      </c>
      <c r="B69" s="5" t="s">
        <v>192</v>
      </c>
      <c r="C69" s="6" t="s">
        <v>193</v>
      </c>
      <c r="D69" s="7" t="s">
        <v>166</v>
      </c>
      <c r="E69" s="8">
        <v>860795776</v>
      </c>
      <c r="F69" s="5" t="s">
        <v>16</v>
      </c>
      <c r="G69" s="5" t="s">
        <v>167</v>
      </c>
      <c r="H69" s="5" t="s">
        <v>172</v>
      </c>
      <c r="I69" s="5" t="s">
        <v>19</v>
      </c>
      <c r="J69" s="6">
        <v>105</v>
      </c>
      <c r="K69" s="6">
        <v>0</v>
      </c>
      <c r="L69" s="6">
        <f t="shared" si="0"/>
        <v>-105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7">
      <c r="A70" s="5" t="s">
        <v>194</v>
      </c>
      <c r="B70" s="5" t="s">
        <v>195</v>
      </c>
      <c r="C70" s="6" t="s">
        <v>196</v>
      </c>
      <c r="D70" s="7" t="s">
        <v>166</v>
      </c>
      <c r="E70" s="8">
        <v>860795776</v>
      </c>
      <c r="F70" s="5" t="s">
        <v>16</v>
      </c>
      <c r="G70" s="5" t="s">
        <v>167</v>
      </c>
      <c r="H70" s="5" t="s">
        <v>168</v>
      </c>
      <c r="I70" s="5" t="s">
        <v>61</v>
      </c>
      <c r="J70" s="6">
        <v>99</v>
      </c>
      <c r="K70" s="6">
        <v>0</v>
      </c>
      <c r="L70" s="6">
        <f t="shared" si="0"/>
        <v>-99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7">
      <c r="A71" s="5" t="s">
        <v>194</v>
      </c>
      <c r="B71" s="5" t="s">
        <v>195</v>
      </c>
      <c r="C71" s="6" t="s">
        <v>196</v>
      </c>
      <c r="D71" s="7" t="s">
        <v>166</v>
      </c>
      <c r="E71" s="8">
        <v>860795776</v>
      </c>
      <c r="F71" s="5" t="s">
        <v>16</v>
      </c>
      <c r="G71" s="5" t="s">
        <v>167</v>
      </c>
      <c r="H71" s="5" t="s">
        <v>168</v>
      </c>
      <c r="I71" s="5" t="s">
        <v>19</v>
      </c>
      <c r="J71" s="6">
        <v>119</v>
      </c>
      <c r="K71" s="6">
        <v>0</v>
      </c>
      <c r="L71" s="6">
        <f t="shared" si="0"/>
        <v>-119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7">
      <c r="A72" s="5" t="s">
        <v>197</v>
      </c>
      <c r="B72" s="5" t="s">
        <v>198</v>
      </c>
      <c r="C72" s="6" t="s">
        <v>199</v>
      </c>
      <c r="D72" s="7" t="s">
        <v>166</v>
      </c>
      <c r="E72" s="8">
        <v>860795776</v>
      </c>
      <c r="F72" s="5" t="s">
        <v>16</v>
      </c>
      <c r="G72" s="5" t="s">
        <v>167</v>
      </c>
      <c r="H72" s="5" t="s">
        <v>172</v>
      </c>
      <c r="I72" s="5" t="s">
        <v>61</v>
      </c>
      <c r="J72" s="6">
        <v>154</v>
      </c>
      <c r="K72" s="6">
        <v>0</v>
      </c>
      <c r="L72" s="6">
        <f t="shared" si="0"/>
        <v>-154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7">
      <c r="A73" s="5" t="s">
        <v>200</v>
      </c>
      <c r="B73" s="5" t="s">
        <v>201</v>
      </c>
      <c r="C73" s="6" t="s">
        <v>202</v>
      </c>
      <c r="D73" s="7" t="s">
        <v>166</v>
      </c>
      <c r="E73" s="8">
        <v>860795776</v>
      </c>
      <c r="F73" s="5" t="s">
        <v>16</v>
      </c>
      <c r="G73" s="5" t="s">
        <v>167</v>
      </c>
      <c r="H73" s="5" t="s">
        <v>168</v>
      </c>
      <c r="I73" s="5" t="s">
        <v>61</v>
      </c>
      <c r="J73" s="6">
        <v>109</v>
      </c>
      <c r="K73" s="6">
        <v>0</v>
      </c>
      <c r="L73" s="6">
        <f t="shared" si="0"/>
        <v>-109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7">
      <c r="A74" s="5" t="s">
        <v>200</v>
      </c>
      <c r="B74" s="5" t="s">
        <v>201</v>
      </c>
      <c r="C74" s="6" t="s">
        <v>202</v>
      </c>
      <c r="D74" s="7" t="s">
        <v>166</v>
      </c>
      <c r="E74" s="8">
        <v>860795776</v>
      </c>
      <c r="F74" s="5" t="s">
        <v>16</v>
      </c>
      <c r="G74" s="5" t="s">
        <v>167</v>
      </c>
      <c r="H74" s="5" t="s">
        <v>168</v>
      </c>
      <c r="I74" s="5" t="s">
        <v>19</v>
      </c>
      <c r="J74" s="6">
        <v>61</v>
      </c>
      <c r="K74" s="6">
        <v>0</v>
      </c>
      <c r="L74" s="6">
        <f t="shared" si="0"/>
        <v>-61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7">
      <c r="A75" s="5" t="s">
        <v>203</v>
      </c>
      <c r="B75" s="5" t="s">
        <v>204</v>
      </c>
      <c r="C75" s="6" t="s">
        <v>205</v>
      </c>
      <c r="D75" s="7" t="s">
        <v>166</v>
      </c>
      <c r="E75" s="8">
        <v>860795776</v>
      </c>
      <c r="F75" s="5" t="s">
        <v>16</v>
      </c>
      <c r="G75" s="5" t="s">
        <v>167</v>
      </c>
      <c r="H75" s="5" t="s">
        <v>172</v>
      </c>
      <c r="I75" s="5" t="s">
        <v>61</v>
      </c>
      <c r="J75" s="6">
        <v>3</v>
      </c>
      <c r="K75" s="6">
        <v>0</v>
      </c>
      <c r="L75" s="6">
        <f t="shared" si="0"/>
        <v>-3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7">
      <c r="A76" s="5" t="s">
        <v>203</v>
      </c>
      <c r="B76" s="5" t="s">
        <v>204</v>
      </c>
      <c r="C76" s="6" t="s">
        <v>205</v>
      </c>
      <c r="D76" s="7" t="s">
        <v>166</v>
      </c>
      <c r="E76" s="8">
        <v>860795776</v>
      </c>
      <c r="F76" s="5" t="s">
        <v>16</v>
      </c>
      <c r="G76" s="5" t="s">
        <v>167</v>
      </c>
      <c r="H76" s="5" t="s">
        <v>172</v>
      </c>
      <c r="I76" s="5" t="s">
        <v>19</v>
      </c>
      <c r="J76" s="6">
        <v>28</v>
      </c>
      <c r="K76" s="6">
        <v>0</v>
      </c>
      <c r="L76" s="6">
        <f t="shared" si="0"/>
        <v>-28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7">
      <c r="A77" s="5" t="s">
        <v>206</v>
      </c>
      <c r="B77" s="5" t="s">
        <v>207</v>
      </c>
      <c r="C77" s="6" t="s">
        <v>208</v>
      </c>
      <c r="D77" s="7" t="s">
        <v>166</v>
      </c>
      <c r="E77" s="8">
        <v>860795776</v>
      </c>
      <c r="F77" s="5" t="s">
        <v>16</v>
      </c>
      <c r="G77" s="5" t="s">
        <v>167</v>
      </c>
      <c r="H77" s="5" t="s">
        <v>209</v>
      </c>
      <c r="I77" s="5" t="s">
        <v>61</v>
      </c>
      <c r="J77" s="6">
        <v>482</v>
      </c>
      <c r="K77" s="6">
        <v>339</v>
      </c>
      <c r="L77" s="6">
        <f t="shared" si="0"/>
        <v>-143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7">
      <c r="A78" s="5" t="s">
        <v>210</v>
      </c>
      <c r="B78" s="5" t="s">
        <v>211</v>
      </c>
      <c r="C78" s="6" t="s">
        <v>212</v>
      </c>
      <c r="D78" s="7" t="s">
        <v>166</v>
      </c>
      <c r="E78" s="8">
        <v>860795776</v>
      </c>
      <c r="F78" s="5" t="s">
        <v>16</v>
      </c>
      <c r="G78" s="5" t="s">
        <v>167</v>
      </c>
      <c r="H78" s="5" t="s">
        <v>168</v>
      </c>
      <c r="I78" s="5" t="s">
        <v>61</v>
      </c>
      <c r="J78" s="6">
        <v>285</v>
      </c>
      <c r="K78" s="6">
        <v>72</v>
      </c>
      <c r="L78" s="6">
        <f t="shared" si="0"/>
        <v>-213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7">
      <c r="A79" s="5" t="s">
        <v>210</v>
      </c>
      <c r="B79" s="5" t="s">
        <v>211</v>
      </c>
      <c r="C79" s="6" t="s">
        <v>212</v>
      </c>
      <c r="D79" s="7" t="s">
        <v>166</v>
      </c>
      <c r="E79" s="8">
        <v>860795776</v>
      </c>
      <c r="F79" s="5" t="s">
        <v>16</v>
      </c>
      <c r="G79" s="5" t="s">
        <v>167</v>
      </c>
      <c r="H79" s="5" t="s">
        <v>168</v>
      </c>
      <c r="I79" s="5" t="s">
        <v>19</v>
      </c>
      <c r="J79" s="6">
        <v>62</v>
      </c>
      <c r="K79" s="6">
        <v>0</v>
      </c>
      <c r="L79" s="6">
        <f t="shared" si="0"/>
        <v>-62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7">
      <c r="A80" s="5" t="s">
        <v>213</v>
      </c>
      <c r="B80" s="5" t="s">
        <v>214</v>
      </c>
      <c r="C80" s="6" t="s">
        <v>215</v>
      </c>
      <c r="D80" s="7" t="s">
        <v>216</v>
      </c>
      <c r="E80" s="8">
        <v>847671309</v>
      </c>
      <c r="F80" s="5" t="s">
        <v>16</v>
      </c>
      <c r="G80" s="5" t="s">
        <v>217</v>
      </c>
      <c r="H80" s="5" t="s">
        <v>218</v>
      </c>
      <c r="I80" s="5" t="s">
        <v>61</v>
      </c>
      <c r="J80" s="6">
        <v>55</v>
      </c>
      <c r="K80" s="6">
        <v>58</v>
      </c>
      <c r="L80" s="6">
        <f t="shared" si="0"/>
        <v>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7">
      <c r="A81" s="5" t="s">
        <v>219</v>
      </c>
      <c r="B81" s="5" t="s">
        <v>220</v>
      </c>
      <c r="C81" s="6" t="s">
        <v>221</v>
      </c>
      <c r="D81" s="7" t="s">
        <v>216</v>
      </c>
      <c r="E81" s="8">
        <v>847671309</v>
      </c>
      <c r="F81" s="5" t="s">
        <v>16</v>
      </c>
      <c r="G81" s="5" t="s">
        <v>217</v>
      </c>
      <c r="H81" s="5" t="s">
        <v>222</v>
      </c>
      <c r="I81" s="5" t="s">
        <v>61</v>
      </c>
      <c r="J81" s="6">
        <v>87</v>
      </c>
      <c r="K81" s="6">
        <v>87</v>
      </c>
      <c r="L81" s="6">
        <f t="shared" si="0"/>
        <v>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7">
      <c r="A82" s="5" t="s">
        <v>223</v>
      </c>
      <c r="B82" s="5" t="s">
        <v>224</v>
      </c>
      <c r="C82" s="6" t="s">
        <v>225</v>
      </c>
      <c r="D82" s="7" t="s">
        <v>216</v>
      </c>
      <c r="E82" s="8">
        <v>847671309</v>
      </c>
      <c r="F82" s="5" t="s">
        <v>16</v>
      </c>
      <c r="G82" s="5" t="s">
        <v>217</v>
      </c>
      <c r="H82" s="5" t="s">
        <v>226</v>
      </c>
      <c r="I82" s="5" t="s">
        <v>61</v>
      </c>
      <c r="J82" s="6">
        <v>52</v>
      </c>
      <c r="K82" s="6">
        <v>304</v>
      </c>
      <c r="L82" s="6">
        <f t="shared" si="0"/>
        <v>252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7">
      <c r="A83" s="5" t="s">
        <v>227</v>
      </c>
      <c r="B83" s="5" t="s">
        <v>228</v>
      </c>
      <c r="C83" s="6" t="s">
        <v>229</v>
      </c>
      <c r="D83" s="7" t="s">
        <v>216</v>
      </c>
      <c r="E83" s="8">
        <v>847671309</v>
      </c>
      <c r="F83" s="5" t="s">
        <v>16</v>
      </c>
      <c r="G83" s="5" t="s">
        <v>217</v>
      </c>
      <c r="H83" s="5" t="s">
        <v>230</v>
      </c>
      <c r="I83" s="5" t="s">
        <v>61</v>
      </c>
      <c r="J83" s="6">
        <v>186</v>
      </c>
      <c r="K83" s="6">
        <v>202</v>
      </c>
      <c r="L83" s="6">
        <f t="shared" si="0"/>
        <v>16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7">
      <c r="A84" s="5" t="s">
        <v>231</v>
      </c>
      <c r="B84" s="5" t="s">
        <v>232</v>
      </c>
      <c r="C84" s="6" t="s">
        <v>233</v>
      </c>
      <c r="D84" s="7" t="s">
        <v>216</v>
      </c>
      <c r="E84" s="8">
        <v>847671309</v>
      </c>
      <c r="F84" s="5" t="s">
        <v>16</v>
      </c>
      <c r="G84" s="5" t="s">
        <v>217</v>
      </c>
      <c r="H84" s="5" t="s">
        <v>234</v>
      </c>
      <c r="I84" s="5" t="s">
        <v>61</v>
      </c>
      <c r="J84" s="6">
        <v>10</v>
      </c>
      <c r="K84" s="6">
        <v>8</v>
      </c>
      <c r="L84" s="6">
        <f t="shared" si="0"/>
        <v>-2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7">
      <c r="A85" s="5" t="s">
        <v>235</v>
      </c>
      <c r="B85" s="5" t="s">
        <v>236</v>
      </c>
      <c r="C85" s="6" t="s">
        <v>237</v>
      </c>
      <c r="D85" s="7" t="s">
        <v>238</v>
      </c>
      <c r="E85" s="8">
        <v>848061542</v>
      </c>
      <c r="F85" s="5" t="s">
        <v>16</v>
      </c>
      <c r="G85" s="5" t="s">
        <v>239</v>
      </c>
      <c r="H85" s="5" t="s">
        <v>240</v>
      </c>
      <c r="I85" s="5" t="s">
        <v>61</v>
      </c>
      <c r="J85" s="6">
        <v>1161</v>
      </c>
      <c r="K85" s="6">
        <v>0</v>
      </c>
      <c r="L85" s="6">
        <f t="shared" si="0"/>
        <v>-1161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7">
      <c r="A86" s="5" t="s">
        <v>235</v>
      </c>
      <c r="B86" s="5" t="s">
        <v>236</v>
      </c>
      <c r="C86" s="6" t="s">
        <v>237</v>
      </c>
      <c r="D86" s="7" t="s">
        <v>238</v>
      </c>
      <c r="E86" s="8">
        <v>848061542</v>
      </c>
      <c r="F86" s="5" t="s">
        <v>16</v>
      </c>
      <c r="G86" s="5" t="s">
        <v>239</v>
      </c>
      <c r="H86" s="5" t="s">
        <v>240</v>
      </c>
      <c r="I86" s="5" t="s">
        <v>19</v>
      </c>
      <c r="J86" s="6">
        <v>0</v>
      </c>
      <c r="K86" s="6">
        <v>386</v>
      </c>
      <c r="L86" s="6">
        <f t="shared" si="0"/>
        <v>386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7">
      <c r="A87" s="5" t="s">
        <v>241</v>
      </c>
      <c r="B87" s="5" t="s">
        <v>242</v>
      </c>
      <c r="C87" s="6" t="s">
        <v>243</v>
      </c>
      <c r="D87" s="7" t="s">
        <v>244</v>
      </c>
      <c r="E87" s="8">
        <v>870620755</v>
      </c>
      <c r="F87" s="5" t="s">
        <v>16</v>
      </c>
      <c r="G87" s="5" t="s">
        <v>245</v>
      </c>
      <c r="H87" s="5" t="s">
        <v>246</v>
      </c>
      <c r="I87" s="5" t="s">
        <v>61</v>
      </c>
      <c r="J87" s="6">
        <v>18</v>
      </c>
      <c r="K87" s="6">
        <v>18</v>
      </c>
      <c r="L87" s="6">
        <f t="shared" si="0"/>
        <v>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7">
      <c r="A88" s="5" t="s">
        <v>247</v>
      </c>
      <c r="B88" s="5" t="s">
        <v>248</v>
      </c>
      <c r="C88" s="6" t="s">
        <v>249</v>
      </c>
      <c r="D88" s="7" t="s">
        <v>250</v>
      </c>
      <c r="E88" s="8">
        <v>870620755</v>
      </c>
      <c r="F88" s="5" t="s">
        <v>16</v>
      </c>
      <c r="G88" s="5" t="s">
        <v>245</v>
      </c>
      <c r="H88" s="5" t="s">
        <v>251</v>
      </c>
      <c r="I88" s="5" t="s">
        <v>61</v>
      </c>
      <c r="J88" s="6">
        <v>390</v>
      </c>
      <c r="K88" s="6">
        <v>380</v>
      </c>
      <c r="L88" s="6">
        <f t="shared" si="0"/>
        <v>-10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7">
      <c r="A89" s="5" t="s">
        <v>252</v>
      </c>
      <c r="B89" s="5" t="s">
        <v>253</v>
      </c>
      <c r="C89" s="6" t="s">
        <v>254</v>
      </c>
      <c r="D89" s="7" t="s">
        <v>250</v>
      </c>
      <c r="E89" s="8">
        <v>870620755</v>
      </c>
      <c r="F89" s="5" t="s">
        <v>16</v>
      </c>
      <c r="G89" s="5" t="s">
        <v>245</v>
      </c>
      <c r="H89" s="5" t="s">
        <v>255</v>
      </c>
      <c r="I89" s="5" t="s">
        <v>61</v>
      </c>
      <c r="J89" s="6">
        <v>187</v>
      </c>
      <c r="K89" s="6">
        <v>120</v>
      </c>
      <c r="L89" s="6">
        <f t="shared" si="0"/>
        <v>-67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7">
      <c r="A90" s="5" t="s">
        <v>256</v>
      </c>
      <c r="B90" s="5" t="s">
        <v>257</v>
      </c>
      <c r="C90" s="6" t="s">
        <v>258</v>
      </c>
      <c r="D90" s="7" t="s">
        <v>250</v>
      </c>
      <c r="E90" s="8">
        <v>870620755</v>
      </c>
      <c r="F90" s="5" t="s">
        <v>16</v>
      </c>
      <c r="G90" s="5" t="s">
        <v>245</v>
      </c>
      <c r="H90" s="5" t="s">
        <v>259</v>
      </c>
      <c r="I90" s="5" t="s">
        <v>61</v>
      </c>
      <c r="J90" s="6">
        <v>153</v>
      </c>
      <c r="K90" s="6">
        <v>140</v>
      </c>
      <c r="L90" s="6">
        <f t="shared" si="0"/>
        <v>-13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7">
      <c r="A91" s="5" t="s">
        <v>260</v>
      </c>
      <c r="B91" s="5" t="s">
        <v>261</v>
      </c>
      <c r="C91" s="6" t="s">
        <v>262</v>
      </c>
      <c r="D91" s="7" t="s">
        <v>250</v>
      </c>
      <c r="E91" s="8">
        <v>870620755</v>
      </c>
      <c r="F91" s="5" t="s">
        <v>16</v>
      </c>
      <c r="G91" s="5" t="s">
        <v>245</v>
      </c>
      <c r="H91" s="5" t="s">
        <v>263</v>
      </c>
      <c r="I91" s="5" t="s">
        <v>61</v>
      </c>
      <c r="J91" s="6">
        <v>262</v>
      </c>
      <c r="K91" s="6">
        <v>290</v>
      </c>
      <c r="L91" s="6">
        <f t="shared" si="0"/>
        <v>28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7">
      <c r="A92" s="5" t="s">
        <v>264</v>
      </c>
      <c r="B92" s="5" t="s">
        <v>265</v>
      </c>
      <c r="C92" s="6" t="s">
        <v>266</v>
      </c>
      <c r="D92" s="7" t="s">
        <v>267</v>
      </c>
      <c r="E92" s="8">
        <v>844823720</v>
      </c>
      <c r="F92" s="5" t="s">
        <v>16</v>
      </c>
      <c r="G92" s="5" t="s">
        <v>268</v>
      </c>
      <c r="H92" s="5" t="s">
        <v>269</v>
      </c>
      <c r="I92" s="5" t="s">
        <v>61</v>
      </c>
      <c r="J92" s="6">
        <v>767</v>
      </c>
      <c r="K92" s="6">
        <v>670</v>
      </c>
      <c r="L92" s="6">
        <f t="shared" si="0"/>
        <v>-97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7">
      <c r="A93" s="5" t="s">
        <v>270</v>
      </c>
      <c r="B93" s="5" t="s">
        <v>271</v>
      </c>
      <c r="C93" s="6" t="s">
        <v>272</v>
      </c>
      <c r="D93" s="7" t="s">
        <v>267</v>
      </c>
      <c r="E93" s="8">
        <v>844823720</v>
      </c>
      <c r="F93" s="5" t="s">
        <v>16</v>
      </c>
      <c r="G93" s="5" t="s">
        <v>268</v>
      </c>
      <c r="H93" s="5" t="s">
        <v>273</v>
      </c>
      <c r="I93" s="5" t="s">
        <v>61</v>
      </c>
      <c r="J93" s="6">
        <v>1965</v>
      </c>
      <c r="K93" s="6">
        <v>700</v>
      </c>
      <c r="L93" s="6">
        <f t="shared" si="0"/>
        <v>-1265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7">
      <c r="A94" s="5" t="s">
        <v>274</v>
      </c>
      <c r="B94" s="5" t="s">
        <v>275</v>
      </c>
      <c r="C94" s="6" t="s">
        <v>276</v>
      </c>
      <c r="D94" s="7" t="s">
        <v>267</v>
      </c>
      <c r="E94" s="8">
        <v>844823720</v>
      </c>
      <c r="F94" s="5" t="s">
        <v>16</v>
      </c>
      <c r="G94" s="5" t="s">
        <v>268</v>
      </c>
      <c r="H94" s="5" t="s">
        <v>277</v>
      </c>
      <c r="I94" s="5" t="s">
        <v>61</v>
      </c>
      <c r="J94" s="6">
        <v>640</v>
      </c>
      <c r="K94" s="6">
        <v>0</v>
      </c>
      <c r="L94" s="6">
        <f t="shared" si="0"/>
        <v>-640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7">
      <c r="A95" s="5" t="s">
        <v>278</v>
      </c>
      <c r="B95" s="5" t="s">
        <v>279</v>
      </c>
      <c r="C95" s="6" t="s">
        <v>280</v>
      </c>
      <c r="D95" s="7" t="s">
        <v>267</v>
      </c>
      <c r="E95" s="8">
        <v>844823720</v>
      </c>
      <c r="F95" s="5" t="s">
        <v>16</v>
      </c>
      <c r="G95" s="5" t="s">
        <v>268</v>
      </c>
      <c r="H95" s="5" t="s">
        <v>273</v>
      </c>
      <c r="I95" s="5" t="s">
        <v>61</v>
      </c>
      <c r="J95" s="6">
        <v>860</v>
      </c>
      <c r="K95" s="6">
        <v>236</v>
      </c>
      <c r="L95" s="6">
        <f t="shared" si="0"/>
        <v>-624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7">
      <c r="A96" s="5" t="s">
        <v>281</v>
      </c>
      <c r="B96" s="5" t="s">
        <v>282</v>
      </c>
      <c r="C96" s="6" t="s">
        <v>283</v>
      </c>
      <c r="D96" s="7" t="s">
        <v>267</v>
      </c>
      <c r="E96" s="8">
        <v>844823720</v>
      </c>
      <c r="F96" s="5" t="s">
        <v>16</v>
      </c>
      <c r="G96" s="5" t="s">
        <v>268</v>
      </c>
      <c r="H96" s="5" t="s">
        <v>284</v>
      </c>
      <c r="I96" s="5" t="s">
        <v>61</v>
      </c>
      <c r="J96" s="6">
        <v>595</v>
      </c>
      <c r="K96" s="6">
        <v>443</v>
      </c>
      <c r="L96" s="6">
        <f t="shared" si="0"/>
        <v>-152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7">
      <c r="A97" s="5" t="s">
        <v>281</v>
      </c>
      <c r="B97" s="5" t="s">
        <v>282</v>
      </c>
      <c r="C97" s="6" t="s">
        <v>283</v>
      </c>
      <c r="D97" s="7" t="s">
        <v>267</v>
      </c>
      <c r="E97" s="8">
        <v>844823720</v>
      </c>
      <c r="F97" s="5" t="s">
        <v>16</v>
      </c>
      <c r="G97" s="5" t="s">
        <v>268</v>
      </c>
      <c r="H97" s="5" t="s">
        <v>284</v>
      </c>
      <c r="I97" s="5" t="s">
        <v>19</v>
      </c>
      <c r="J97" s="6">
        <v>0</v>
      </c>
      <c r="K97" s="6">
        <v>91</v>
      </c>
      <c r="L97" s="6">
        <f t="shared" si="0"/>
        <v>91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7">
      <c r="A98" s="5" t="s">
        <v>285</v>
      </c>
      <c r="B98" s="5" t="s">
        <v>286</v>
      </c>
      <c r="C98" s="6" t="s">
        <v>287</v>
      </c>
      <c r="D98" s="7" t="s">
        <v>267</v>
      </c>
      <c r="E98" s="8">
        <v>844823720</v>
      </c>
      <c r="F98" s="5" t="s">
        <v>16</v>
      </c>
      <c r="G98" s="5" t="s">
        <v>268</v>
      </c>
      <c r="H98" s="5" t="s">
        <v>288</v>
      </c>
      <c r="I98" s="5" t="s">
        <v>61</v>
      </c>
      <c r="J98" s="6">
        <v>870</v>
      </c>
      <c r="K98" s="6">
        <v>0</v>
      </c>
      <c r="L98" s="6">
        <f t="shared" si="0"/>
        <v>-870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7">
      <c r="A99" s="5" t="s">
        <v>285</v>
      </c>
      <c r="B99" s="5" t="s">
        <v>286</v>
      </c>
      <c r="C99" s="6" t="s">
        <v>287</v>
      </c>
      <c r="D99" s="7" t="s">
        <v>267</v>
      </c>
      <c r="E99" s="8">
        <v>844823720</v>
      </c>
      <c r="F99" s="5" t="s">
        <v>16</v>
      </c>
      <c r="G99" s="5" t="s">
        <v>268</v>
      </c>
      <c r="H99" s="5" t="s">
        <v>288</v>
      </c>
      <c r="I99" s="5" t="s">
        <v>61</v>
      </c>
      <c r="J99" s="6">
        <v>0</v>
      </c>
      <c r="K99" s="6">
        <v>709</v>
      </c>
      <c r="L99" s="6">
        <f t="shared" si="0"/>
        <v>709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7">
      <c r="A100" s="5" t="s">
        <v>289</v>
      </c>
      <c r="B100" s="5" t="s">
        <v>290</v>
      </c>
      <c r="C100" s="6" t="s">
        <v>291</v>
      </c>
      <c r="D100" s="7" t="s">
        <v>292</v>
      </c>
      <c r="E100" s="8">
        <v>867055626</v>
      </c>
      <c r="F100" s="5" t="s">
        <v>16</v>
      </c>
      <c r="G100" s="5" t="s">
        <v>293</v>
      </c>
      <c r="H100" s="5" t="s">
        <v>294</v>
      </c>
      <c r="I100" s="5" t="s">
        <v>61</v>
      </c>
      <c r="J100" s="6">
        <v>493</v>
      </c>
      <c r="K100" s="6">
        <v>153</v>
      </c>
      <c r="L100" s="6">
        <f t="shared" si="0"/>
        <v>-340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7">
      <c r="A101" s="5" t="s">
        <v>289</v>
      </c>
      <c r="B101" s="5" t="s">
        <v>290</v>
      </c>
      <c r="C101" s="6" t="s">
        <v>291</v>
      </c>
      <c r="D101" s="7" t="s">
        <v>292</v>
      </c>
      <c r="E101" s="8">
        <v>867055626</v>
      </c>
      <c r="F101" s="5" t="s">
        <v>16</v>
      </c>
      <c r="G101" s="5" t="s">
        <v>293</v>
      </c>
      <c r="H101" s="5" t="s">
        <v>294</v>
      </c>
      <c r="I101" s="5" t="s">
        <v>19</v>
      </c>
      <c r="J101" s="6">
        <v>0</v>
      </c>
      <c r="K101" s="6">
        <v>352</v>
      </c>
      <c r="L101" s="6">
        <f t="shared" si="0"/>
        <v>352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7">
      <c r="A102" s="5" t="s">
        <v>295</v>
      </c>
      <c r="B102" s="5" t="s">
        <v>296</v>
      </c>
      <c r="C102" s="6" t="s">
        <v>297</v>
      </c>
      <c r="D102" s="7" t="s">
        <v>298</v>
      </c>
      <c r="E102" s="8">
        <v>877748861</v>
      </c>
      <c r="F102" s="5" t="s">
        <v>16</v>
      </c>
      <c r="G102" s="5" t="s">
        <v>299</v>
      </c>
      <c r="H102" s="5"/>
      <c r="I102" s="5" t="s">
        <v>61</v>
      </c>
      <c r="J102" s="6">
        <v>16</v>
      </c>
      <c r="K102" s="6">
        <v>0</v>
      </c>
      <c r="L102" s="6">
        <f t="shared" si="0"/>
        <v>-16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7">
      <c r="A103" s="5" t="s">
        <v>300</v>
      </c>
      <c r="B103" s="5" t="s">
        <v>301</v>
      </c>
      <c r="C103" s="6" t="s">
        <v>302</v>
      </c>
      <c r="D103" s="7" t="s">
        <v>298</v>
      </c>
      <c r="E103" s="8">
        <v>877748861</v>
      </c>
      <c r="F103" s="5" t="s">
        <v>16</v>
      </c>
      <c r="G103" s="5" t="s">
        <v>299</v>
      </c>
      <c r="H103" s="5" t="s">
        <v>303</v>
      </c>
      <c r="I103" s="5" t="s">
        <v>61</v>
      </c>
      <c r="J103" s="6">
        <v>316</v>
      </c>
      <c r="K103" s="6">
        <v>0</v>
      </c>
      <c r="L103" s="6">
        <f t="shared" si="0"/>
        <v>-316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7">
      <c r="A104" s="5" t="s">
        <v>304</v>
      </c>
      <c r="B104" s="5" t="s">
        <v>305</v>
      </c>
      <c r="C104" s="6" t="s">
        <v>306</v>
      </c>
      <c r="D104" s="7" t="s">
        <v>298</v>
      </c>
      <c r="E104" s="8">
        <v>877748861</v>
      </c>
      <c r="F104" s="5" t="s">
        <v>16</v>
      </c>
      <c r="G104" s="5" t="s">
        <v>299</v>
      </c>
      <c r="H104" s="5" t="s">
        <v>307</v>
      </c>
      <c r="I104" s="5" t="s">
        <v>61</v>
      </c>
      <c r="J104" s="6">
        <v>315</v>
      </c>
      <c r="K104" s="6">
        <v>79</v>
      </c>
      <c r="L104" s="6">
        <f t="shared" si="0"/>
        <v>-236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7">
      <c r="A105" s="5" t="s">
        <v>308</v>
      </c>
      <c r="B105" s="5" t="s">
        <v>309</v>
      </c>
      <c r="C105" s="6" t="s">
        <v>310</v>
      </c>
      <c r="D105" s="7" t="s">
        <v>298</v>
      </c>
      <c r="E105" s="8">
        <v>877748861</v>
      </c>
      <c r="F105" s="5" t="s">
        <v>16</v>
      </c>
      <c r="G105" s="5" t="s">
        <v>299</v>
      </c>
      <c r="H105" s="5" t="s">
        <v>311</v>
      </c>
      <c r="I105" s="5" t="s">
        <v>61</v>
      </c>
      <c r="J105" s="6">
        <v>312</v>
      </c>
      <c r="K105" s="6">
        <v>219</v>
      </c>
      <c r="L105" s="6">
        <f t="shared" si="0"/>
        <v>-93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7">
      <c r="A106" s="5" t="s">
        <v>312</v>
      </c>
      <c r="B106" s="5" t="s">
        <v>313</v>
      </c>
      <c r="C106" s="6" t="s">
        <v>314</v>
      </c>
      <c r="D106" s="7" t="s">
        <v>298</v>
      </c>
      <c r="E106" s="8">
        <v>877748861</v>
      </c>
      <c r="F106" s="5" t="s">
        <v>16</v>
      </c>
      <c r="G106" s="5" t="s">
        <v>299</v>
      </c>
      <c r="H106" s="5" t="s">
        <v>315</v>
      </c>
      <c r="I106" s="5" t="s">
        <v>61</v>
      </c>
      <c r="J106" s="6">
        <v>277</v>
      </c>
      <c r="K106" s="6">
        <v>181</v>
      </c>
      <c r="L106" s="6">
        <f t="shared" si="0"/>
        <v>-96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7">
      <c r="A107" s="5" t="s">
        <v>316</v>
      </c>
      <c r="B107" s="5" t="s">
        <v>317</v>
      </c>
      <c r="C107" s="6" t="s">
        <v>318</v>
      </c>
      <c r="D107" s="7" t="s">
        <v>298</v>
      </c>
      <c r="E107" s="8">
        <v>877748861</v>
      </c>
      <c r="F107" s="5" t="s">
        <v>16</v>
      </c>
      <c r="G107" s="5" t="s">
        <v>299</v>
      </c>
      <c r="H107" s="5" t="s">
        <v>319</v>
      </c>
      <c r="I107" s="5" t="s">
        <v>61</v>
      </c>
      <c r="J107" s="6">
        <v>283</v>
      </c>
      <c r="K107" s="6">
        <v>0</v>
      </c>
      <c r="L107" s="6">
        <f t="shared" si="0"/>
        <v>-283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7">
      <c r="A108" s="5" t="s">
        <v>316</v>
      </c>
      <c r="B108" s="5" t="s">
        <v>317</v>
      </c>
      <c r="C108" s="6" t="s">
        <v>318</v>
      </c>
      <c r="D108" s="7" t="s">
        <v>298</v>
      </c>
      <c r="E108" s="8">
        <v>877748861</v>
      </c>
      <c r="F108" s="5" t="s">
        <v>16</v>
      </c>
      <c r="G108" s="5" t="s">
        <v>299</v>
      </c>
      <c r="H108" s="5" t="s">
        <v>319</v>
      </c>
      <c r="I108" s="5" t="s">
        <v>19</v>
      </c>
      <c r="J108" s="6">
        <v>0</v>
      </c>
      <c r="K108" s="6">
        <v>199</v>
      </c>
      <c r="L108" s="6">
        <f t="shared" si="0"/>
        <v>199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7">
      <c r="A109" s="5" t="s">
        <v>320</v>
      </c>
      <c r="B109" s="5" t="s">
        <v>321</v>
      </c>
      <c r="C109" s="6" t="s">
        <v>322</v>
      </c>
      <c r="D109" s="7" t="s">
        <v>298</v>
      </c>
      <c r="E109" s="8">
        <v>877748861</v>
      </c>
      <c r="F109" s="5" t="s">
        <v>16</v>
      </c>
      <c r="G109" s="5" t="s">
        <v>299</v>
      </c>
      <c r="H109" s="5"/>
      <c r="I109" s="5" t="s">
        <v>61</v>
      </c>
      <c r="J109" s="6">
        <v>44</v>
      </c>
      <c r="K109" s="6">
        <v>0</v>
      </c>
      <c r="L109" s="6">
        <f t="shared" si="0"/>
        <v>-44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7">
      <c r="A110" s="5" t="s">
        <v>300</v>
      </c>
      <c r="B110" s="5" t="s">
        <v>301</v>
      </c>
      <c r="C110" s="6">
        <v>878495852</v>
      </c>
      <c r="D110" s="7" t="s">
        <v>298</v>
      </c>
      <c r="E110" s="8">
        <v>877748861</v>
      </c>
      <c r="F110" s="5" t="s">
        <v>16</v>
      </c>
      <c r="G110" s="5" t="s">
        <v>299</v>
      </c>
      <c r="H110" s="5" t="s">
        <v>303</v>
      </c>
      <c r="I110" s="5" t="s">
        <v>19</v>
      </c>
      <c r="J110" s="6">
        <v>0</v>
      </c>
      <c r="K110" s="6">
        <v>159</v>
      </c>
      <c r="L110" s="6">
        <f t="shared" si="0"/>
        <v>159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7">
      <c r="A111" s="5" t="s">
        <v>304</v>
      </c>
      <c r="B111" s="5" t="s">
        <v>305</v>
      </c>
      <c r="C111" s="6">
        <v>872846290</v>
      </c>
      <c r="D111" s="7" t="s">
        <v>298</v>
      </c>
      <c r="E111" s="8">
        <v>877748861</v>
      </c>
      <c r="F111" s="5" t="s">
        <v>16</v>
      </c>
      <c r="G111" s="5" t="s">
        <v>299</v>
      </c>
      <c r="H111" s="5" t="s">
        <v>307</v>
      </c>
      <c r="I111" s="5" t="s">
        <v>19</v>
      </c>
      <c r="J111" s="6">
        <v>0</v>
      </c>
      <c r="K111" s="6">
        <v>142</v>
      </c>
      <c r="L111" s="6">
        <f t="shared" si="0"/>
        <v>142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7">
      <c r="A112" s="5" t="s">
        <v>323</v>
      </c>
      <c r="B112" s="5" t="s">
        <v>324</v>
      </c>
      <c r="C112" s="6" t="s">
        <v>325</v>
      </c>
      <c r="D112" s="7" t="s">
        <v>326</v>
      </c>
      <c r="E112" s="8">
        <v>840522555</v>
      </c>
      <c r="F112" s="5" t="s">
        <v>16</v>
      </c>
      <c r="G112" s="5" t="s">
        <v>327</v>
      </c>
      <c r="H112" s="5" t="s">
        <v>328</v>
      </c>
      <c r="I112" s="5" t="s">
        <v>61</v>
      </c>
      <c r="J112" s="6">
        <v>885</v>
      </c>
      <c r="K112" s="6">
        <v>395</v>
      </c>
      <c r="L112" s="6">
        <f t="shared" si="0"/>
        <v>-490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7">
      <c r="A113" s="5" t="s">
        <v>329</v>
      </c>
      <c r="B113" s="5" t="s">
        <v>330</v>
      </c>
      <c r="C113" s="6" t="s">
        <v>331</v>
      </c>
      <c r="D113" s="7" t="s">
        <v>326</v>
      </c>
      <c r="E113" s="8">
        <v>840522555</v>
      </c>
      <c r="F113" s="5" t="s">
        <v>16</v>
      </c>
      <c r="G113" s="5" t="s">
        <v>327</v>
      </c>
      <c r="H113" s="5" t="s">
        <v>332</v>
      </c>
      <c r="I113" s="5" t="s">
        <v>61</v>
      </c>
      <c r="J113" s="6">
        <v>1131</v>
      </c>
      <c r="K113" s="6">
        <v>94</v>
      </c>
      <c r="L113" s="6">
        <f t="shared" si="0"/>
        <v>-1037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7">
      <c r="A114" s="5" t="s">
        <v>329</v>
      </c>
      <c r="B114" s="5" t="s">
        <v>330</v>
      </c>
      <c r="C114" s="6" t="s">
        <v>331</v>
      </c>
      <c r="D114" s="7" t="s">
        <v>326</v>
      </c>
      <c r="E114" s="8">
        <v>840522555</v>
      </c>
      <c r="F114" s="5" t="s">
        <v>16</v>
      </c>
      <c r="G114" s="5" t="s">
        <v>327</v>
      </c>
      <c r="H114" s="5" t="s">
        <v>332</v>
      </c>
      <c r="I114" s="5" t="s">
        <v>19</v>
      </c>
      <c r="J114" s="6">
        <v>1</v>
      </c>
      <c r="K114" s="6">
        <v>301</v>
      </c>
      <c r="L114" s="6">
        <f t="shared" si="0"/>
        <v>300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7">
      <c r="A115" s="5" t="s">
        <v>333</v>
      </c>
      <c r="B115" s="5" t="s">
        <v>334</v>
      </c>
      <c r="C115" s="6" t="s">
        <v>335</v>
      </c>
      <c r="D115" s="7" t="s">
        <v>326</v>
      </c>
      <c r="E115" s="8">
        <v>840522555</v>
      </c>
      <c r="F115" s="5" t="s">
        <v>16</v>
      </c>
      <c r="G115" s="5" t="s">
        <v>327</v>
      </c>
      <c r="H115" s="5" t="s">
        <v>336</v>
      </c>
      <c r="I115" s="5" t="s">
        <v>61</v>
      </c>
      <c r="J115" s="6">
        <v>706</v>
      </c>
      <c r="K115" s="6">
        <v>395</v>
      </c>
      <c r="L115" s="6">
        <f t="shared" si="0"/>
        <v>-311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7">
      <c r="A116" s="5" t="s">
        <v>333</v>
      </c>
      <c r="B116" s="5" t="s">
        <v>334</v>
      </c>
      <c r="C116" s="6" t="s">
        <v>335</v>
      </c>
      <c r="D116" s="7" t="s">
        <v>326</v>
      </c>
      <c r="E116" s="8">
        <v>840522555</v>
      </c>
      <c r="F116" s="5" t="s">
        <v>16</v>
      </c>
      <c r="G116" s="5" t="s">
        <v>327</v>
      </c>
      <c r="H116" s="5" t="s">
        <v>336</v>
      </c>
      <c r="I116" s="5" t="s">
        <v>19</v>
      </c>
      <c r="J116" s="6">
        <v>22</v>
      </c>
      <c r="K116" s="6">
        <v>0</v>
      </c>
      <c r="L116" s="6">
        <f t="shared" si="0"/>
        <v>-22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7">
      <c r="A117" s="5" t="s">
        <v>337</v>
      </c>
      <c r="B117" s="5" t="s">
        <v>338</v>
      </c>
      <c r="C117" s="6" t="s">
        <v>339</v>
      </c>
      <c r="D117" s="7" t="s">
        <v>326</v>
      </c>
      <c r="E117" s="8">
        <v>840522555</v>
      </c>
      <c r="F117" s="5" t="s">
        <v>16</v>
      </c>
      <c r="G117" s="5" t="s">
        <v>327</v>
      </c>
      <c r="H117" s="5" t="s">
        <v>340</v>
      </c>
      <c r="I117" s="5" t="s">
        <v>61</v>
      </c>
      <c r="J117" s="6">
        <v>601</v>
      </c>
      <c r="K117" s="6">
        <v>395</v>
      </c>
      <c r="L117" s="6">
        <f t="shared" si="0"/>
        <v>-206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7">
      <c r="A118" s="5" t="s">
        <v>341</v>
      </c>
      <c r="B118" s="5" t="s">
        <v>342</v>
      </c>
      <c r="C118" s="6" t="s">
        <v>343</v>
      </c>
      <c r="D118" s="7" t="s">
        <v>326</v>
      </c>
      <c r="E118" s="8">
        <v>840522555</v>
      </c>
      <c r="F118" s="5" t="s">
        <v>16</v>
      </c>
      <c r="G118" s="5" t="s">
        <v>327</v>
      </c>
      <c r="H118" s="5" t="s">
        <v>344</v>
      </c>
      <c r="I118" s="5" t="s">
        <v>61</v>
      </c>
      <c r="J118" s="6">
        <v>826</v>
      </c>
      <c r="K118" s="6">
        <v>395</v>
      </c>
      <c r="L118" s="6">
        <f t="shared" si="0"/>
        <v>-431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7">
      <c r="A119" s="5" t="s">
        <v>345</v>
      </c>
      <c r="B119" s="5" t="s">
        <v>346</v>
      </c>
      <c r="C119" s="6" t="s">
        <v>347</v>
      </c>
      <c r="D119" s="7" t="s">
        <v>326</v>
      </c>
      <c r="E119" s="8">
        <v>840522555</v>
      </c>
      <c r="F119" s="5" t="s">
        <v>16</v>
      </c>
      <c r="G119" s="5" t="s">
        <v>327</v>
      </c>
      <c r="H119" s="5"/>
      <c r="I119" s="5" t="s">
        <v>61</v>
      </c>
      <c r="J119" s="6">
        <v>122</v>
      </c>
      <c r="K119" s="6">
        <v>0</v>
      </c>
      <c r="L119" s="6">
        <f t="shared" si="0"/>
        <v>-122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7">
      <c r="A120" s="5" t="s">
        <v>348</v>
      </c>
      <c r="B120" s="5" t="s">
        <v>349</v>
      </c>
      <c r="C120" s="6" t="s">
        <v>350</v>
      </c>
      <c r="D120" s="7" t="s">
        <v>326</v>
      </c>
      <c r="E120" s="8">
        <v>840522555</v>
      </c>
      <c r="F120" s="5" t="s">
        <v>16</v>
      </c>
      <c r="G120" s="5" t="s">
        <v>327</v>
      </c>
      <c r="H120" s="5" t="s">
        <v>351</v>
      </c>
      <c r="I120" s="5" t="s">
        <v>61</v>
      </c>
      <c r="J120" s="6">
        <v>850</v>
      </c>
      <c r="K120" s="6">
        <v>0</v>
      </c>
      <c r="L120" s="6">
        <f t="shared" si="0"/>
        <v>-850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7">
      <c r="A121" s="5" t="s">
        <v>348</v>
      </c>
      <c r="B121" s="5" t="s">
        <v>349</v>
      </c>
      <c r="C121" s="6" t="s">
        <v>350</v>
      </c>
      <c r="D121" s="7" t="s">
        <v>326</v>
      </c>
      <c r="E121" s="8">
        <v>840522555</v>
      </c>
      <c r="F121" s="5" t="s">
        <v>16</v>
      </c>
      <c r="G121" s="5" t="s">
        <v>327</v>
      </c>
      <c r="H121" s="5" t="s">
        <v>351</v>
      </c>
      <c r="I121" s="5" t="s">
        <v>19</v>
      </c>
      <c r="J121" s="6">
        <v>0</v>
      </c>
      <c r="K121" s="6">
        <v>399</v>
      </c>
      <c r="L121" s="6">
        <f t="shared" si="0"/>
        <v>399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A1:L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Sofala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Costa Dias</cp:lastModifiedBy>
  <dcterms:created xsi:type="dcterms:W3CDTF">2026-04-17T15:08:51Z</dcterms:created>
  <dcterms:modified xsi:type="dcterms:W3CDTF">2026-04-17T15:08:51Z</dcterms:modified>
</cp:coreProperties>
</file>